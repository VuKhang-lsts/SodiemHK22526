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/>
  <mc:AlternateContent xmlns:mc="http://schemas.openxmlformats.org/markup-compatibility/2006">
    <mc:Choice Requires="x15">
      <x15ac:absPath xmlns:x15ac="http://schemas.microsoft.com/office/spreadsheetml/2010/11/ac" url="https://dinhthienly-my.sharepoint.com/personal/ict_khangv_lsts_edu_vn/Documents/01. PD/2025 - 2026/SỔ ĐIỂM HK2/"/>
    </mc:Choice>
  </mc:AlternateContent>
  <xr:revisionPtr revIDLastSave="1481" documentId="13_ncr:1_{9C38F584-4819-487B-ADF8-F9572E133DD5}" xr6:coauthVersionLast="47" xr6:coauthVersionMax="47" xr10:uidLastSave="{73B4EA72-7195-48F4-AB79-BA43E9A97B95}"/>
  <bookViews>
    <workbookView xWindow="75" yWindow="0" windowWidth="26010" windowHeight="20985" firstSheet="6" activeTab="6" xr2:uid="{1EF14012-7694-4211-A43A-BA5E23E1AA9F}"/>
  </bookViews>
  <sheets>
    <sheet name="12T1" sheetId="6" r:id="rId1"/>
    <sheet name="12T2" sheetId="7" r:id="rId2"/>
    <sheet name="9H01" sheetId="2" r:id="rId3"/>
    <sheet name="9H02" sheetId="1" r:id="rId4"/>
    <sheet name="9H03" sheetId="3" r:id="rId5"/>
    <sheet name="9H07" sheetId="4" r:id="rId6"/>
    <sheet name="MUL10L3" sheetId="5" r:id="rId7"/>
  </sheets>
  <calcPr calcId="191028" calcCompleted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0" i="3" l="1"/>
  <c r="O2" i="6"/>
  <c r="O4" i="6"/>
  <c r="O6" i="6"/>
  <c r="O19" i="6"/>
  <c r="O25" i="6"/>
  <c r="O27" i="6"/>
  <c r="O30" i="6"/>
</calcChain>
</file>

<file path=xl/sharedStrings.xml><?xml version="1.0" encoding="utf-8"?>
<sst xmlns="http://schemas.openxmlformats.org/spreadsheetml/2006/main" count="1308" uniqueCount="831">
  <si>
    <t>STT</t>
  </si>
  <si>
    <t>Tên lớp</t>
  </si>
  <si>
    <t>Mã định danh</t>
  </si>
  <si>
    <t>MSHS</t>
  </si>
  <si>
    <t>Email</t>
  </si>
  <si>
    <t>Họ và tên</t>
  </si>
  <si>
    <t>Ngày sinh</t>
  </si>
  <si>
    <t>TX1</t>
  </si>
  <si>
    <t>TX2</t>
  </si>
  <si>
    <t>TX3</t>
  </si>
  <si>
    <t>GKTN</t>
  </si>
  <si>
    <t>GKTH</t>
  </si>
  <si>
    <t>CKTN</t>
  </si>
  <si>
    <t>CKTH</t>
  </si>
  <si>
    <t>Điểm cộng/trừ</t>
  </si>
  <si>
    <t>1</t>
  </si>
  <si>
    <t>12T1</t>
  </si>
  <si>
    <t>7914490603</t>
  </si>
  <si>
    <t>1906029@lsts.edu.vn</t>
  </si>
  <si>
    <t>Trần Bảo Anh</t>
  </si>
  <si>
    <t>07/05/2008</t>
  </si>
  <si>
    <t>2</t>
  </si>
  <si>
    <t>7939831046</t>
  </si>
  <si>
    <t>1906037@lsts.edu.vn</t>
  </si>
  <si>
    <t>Hồ Vũ Thiên Bình</t>
  </si>
  <si>
    <t>24/09/2008</t>
  </si>
  <si>
    <t>3</t>
  </si>
  <si>
    <t>7939831144</t>
  </si>
  <si>
    <t>1906042@lsts.edu.vn</t>
  </si>
  <si>
    <t>Vũ Đặng Lan Chi</t>
  </si>
  <si>
    <t>24/12/2008</t>
  </si>
  <si>
    <t>4</t>
  </si>
  <si>
    <t>7939831089</t>
  </si>
  <si>
    <t>1906045@lsts.edu.vn</t>
  </si>
  <si>
    <t>Nguyễn Ngọc Linh Đan</t>
  </si>
  <si>
    <t>15/11/2008</t>
  </si>
  <si>
    <t>5</t>
  </si>
  <si>
    <t>7904028243</t>
  </si>
  <si>
    <t>1906054@lsts.edu.vn</t>
  </si>
  <si>
    <t>Nguyễn Tiến Dũng</t>
  </si>
  <si>
    <t>23/06/2008</t>
  </si>
  <si>
    <t>6</t>
  </si>
  <si>
    <t>7904028189</t>
  </si>
  <si>
    <t>1906056@lsts.edu.vn</t>
  </si>
  <si>
    <t>Huỳnh Trương Thái Dương</t>
  </si>
  <si>
    <t>22/12/2008</t>
  </si>
  <si>
    <t>7</t>
  </si>
  <si>
    <t>7939830997</t>
  </si>
  <si>
    <t>1906064@lsts.edu.vn</t>
  </si>
  <si>
    <t>Nguyễn Khánh Hà</t>
  </si>
  <si>
    <t>03/04/2008</t>
  </si>
  <si>
    <t>8</t>
  </si>
  <si>
    <t>7904028087</t>
  </si>
  <si>
    <t>1906085@lsts.edu.vn</t>
  </si>
  <si>
    <t>Nguyễn Thu Hương</t>
  </si>
  <si>
    <t>01/04/2008</t>
  </si>
  <si>
    <t>9</t>
  </si>
  <si>
    <t>7904028088</t>
  </si>
  <si>
    <t>1906091@lsts.edu.vn</t>
  </si>
  <si>
    <t>Đặng Trần Kha</t>
  </si>
  <si>
    <t>16/05/2008</t>
  </si>
  <si>
    <t>10</t>
  </si>
  <si>
    <t>7939831022</t>
  </si>
  <si>
    <t>1906104@lsts.edu.vn</t>
  </si>
  <si>
    <t>Lâm Vũ Khánh</t>
  </si>
  <si>
    <t>23/11/2008</t>
  </si>
  <si>
    <t>11</t>
  </si>
  <si>
    <t>7939831121</t>
  </si>
  <si>
    <t>1906106@lsts.edu.vn</t>
  </si>
  <si>
    <t>Phạm Ngọc Khánh</t>
  </si>
  <si>
    <t>05/06/2008</t>
  </si>
  <si>
    <t>12</t>
  </si>
  <si>
    <t>7739831072</t>
  </si>
  <si>
    <t>1906111@lsts.edu.vn</t>
  </si>
  <si>
    <t>Nguyễn Bách Khoa</t>
  </si>
  <si>
    <t>27/05/2008</t>
  </si>
  <si>
    <t>13</t>
  </si>
  <si>
    <t>7939831054</t>
  </si>
  <si>
    <t>1906123@lsts.edu.vn</t>
  </si>
  <si>
    <t>Hồ Thị Minh Khuê</t>
  </si>
  <si>
    <t>06/02/2008</t>
  </si>
  <si>
    <t>14</t>
  </si>
  <si>
    <t>7923358364</t>
  </si>
  <si>
    <t>1911004@lsts.edu.vn</t>
  </si>
  <si>
    <t>Nguyễn Hoàng Kiên</t>
  </si>
  <si>
    <t>12/03/2008</t>
  </si>
  <si>
    <t>15</t>
  </si>
  <si>
    <t>7965949636</t>
  </si>
  <si>
    <t>1908001@lsts.edu.vn</t>
  </si>
  <si>
    <t>Hà Ngọc Linh</t>
  </si>
  <si>
    <t>09/07/2008</t>
  </si>
  <si>
    <t>16</t>
  </si>
  <si>
    <t>7939831128</t>
  </si>
  <si>
    <t>1906139@lsts.edu.vn</t>
  </si>
  <si>
    <t>Vũ Dương Khánh Linh</t>
  </si>
  <si>
    <t>08/03/2008</t>
  </si>
  <si>
    <t>17</t>
  </si>
  <si>
    <t>7914405289</t>
  </si>
  <si>
    <t>1906141@lsts.edu.vn</t>
  </si>
  <si>
    <t>Nguyễn Hoàng Long</t>
  </si>
  <si>
    <t>18</t>
  </si>
  <si>
    <t>7939831099</t>
  </si>
  <si>
    <t>1906142@lsts.edu.vn</t>
  </si>
  <si>
    <t>Nguyễn Ngọc Bảo Long</t>
  </si>
  <si>
    <t>17/04/2008</t>
  </si>
  <si>
    <t>19</t>
  </si>
  <si>
    <t>7904028138</t>
  </si>
  <si>
    <t>1906153@lsts.edu.vn</t>
  </si>
  <si>
    <t>Hoàng Hải Minh</t>
  </si>
  <si>
    <t>09/03/2008</t>
  </si>
  <si>
    <t>20</t>
  </si>
  <si>
    <t>7914663922</t>
  </si>
  <si>
    <t>1906160@lsts.edu.vn</t>
  </si>
  <si>
    <t>Trương Ngô Quang Minh</t>
  </si>
  <si>
    <t>27/10/2008</t>
  </si>
  <si>
    <t>21</t>
  </si>
  <si>
    <t>7914265317</t>
  </si>
  <si>
    <t>1906173@lsts.edu.vn</t>
  </si>
  <si>
    <t>Lê Thanh Bảo Ngọc</t>
  </si>
  <si>
    <t>03/06/2008</t>
  </si>
  <si>
    <t>22</t>
  </si>
  <si>
    <t>7939831033</t>
  </si>
  <si>
    <t>1906182@lsts.edu.vn</t>
  </si>
  <si>
    <t>Lê Thái Phương Nhi</t>
  </si>
  <si>
    <t>21/12/2008</t>
  </si>
  <si>
    <t>23</t>
  </si>
  <si>
    <t>7939831081</t>
  </si>
  <si>
    <t>1906197@lsts.edu.vn</t>
  </si>
  <si>
    <t>Phùng Hoàng Anh Phương</t>
  </si>
  <si>
    <t>26/05/2008</t>
  </si>
  <si>
    <t>24</t>
  </si>
  <si>
    <t>7976918699</t>
  </si>
  <si>
    <t>1910010@lsts.edu.vn</t>
  </si>
  <si>
    <t>Hồ Khắc Minh Quân</t>
  </si>
  <si>
    <t>25</t>
  </si>
  <si>
    <t>9444807990</t>
  </si>
  <si>
    <t>1909014@lsts.edu.vn</t>
  </si>
  <si>
    <t>Lê Minh Tài</t>
  </si>
  <si>
    <t>26</t>
  </si>
  <si>
    <t>7945928276</t>
  </si>
  <si>
    <t>1907001@lsts.edu.vn</t>
  </si>
  <si>
    <t>Phạm Vũ Anh Thư</t>
  </si>
  <si>
    <t>24/10/2008</t>
  </si>
  <si>
    <t>27</t>
  </si>
  <si>
    <t>7976918277</t>
  </si>
  <si>
    <t>1910019@lsts.edu.vn</t>
  </si>
  <si>
    <t>Trần Khánh Trung</t>
  </si>
  <si>
    <t>23/09/2008</t>
  </si>
  <si>
    <t>28</t>
  </si>
  <si>
    <t>7976918271</t>
  </si>
  <si>
    <t>1910008@lsts.edu.vn</t>
  </si>
  <si>
    <t>Lê Nguyên Trường</t>
  </si>
  <si>
    <t>10/02/2008</t>
  </si>
  <si>
    <t>29</t>
  </si>
  <si>
    <t>7939831041</t>
  </si>
  <si>
    <t>1906243@lsts.edu.vn</t>
  </si>
  <si>
    <t>Phan Khánh Vân</t>
  </si>
  <si>
    <t>19/04/2008</t>
  </si>
  <si>
    <t>12T2</t>
  </si>
  <si>
    <t>7939831064</t>
  </si>
  <si>
    <t>1906006@lsts.edu.vn</t>
  </si>
  <si>
    <t>Đặng Hoàng Phương Anh</t>
  </si>
  <si>
    <t>08/01/2008</t>
  </si>
  <si>
    <t>7976918284</t>
  </si>
  <si>
    <t>1910036@lsts.edu.vn</t>
  </si>
  <si>
    <t>Huỳnh Tú Anh</t>
  </si>
  <si>
    <t>05/04/2008</t>
  </si>
  <si>
    <t>7914298945</t>
  </si>
  <si>
    <t>1906012@lsts.edu.vn</t>
  </si>
  <si>
    <t>Lê Tú Anh</t>
  </si>
  <si>
    <t>01/10/2008</t>
  </si>
  <si>
    <t>7914490631</t>
  </si>
  <si>
    <t>1906013@lsts.edu.vn</t>
  </si>
  <si>
    <t>Lương Châu Bảo Anh</t>
  </si>
  <si>
    <t>10/11/2008</t>
  </si>
  <si>
    <t>7944807845</t>
  </si>
  <si>
    <t>1909010@lsts.edu.vn</t>
  </si>
  <si>
    <t>Nguyễn Diệp Anh</t>
  </si>
  <si>
    <t>04/07/2008</t>
  </si>
  <si>
    <t>7939831065</t>
  </si>
  <si>
    <t>1906023@lsts.edu.vn</t>
  </si>
  <si>
    <t>Phạm Phương Anh</t>
  </si>
  <si>
    <t>12/01/2008</t>
  </si>
  <si>
    <t>7955012131</t>
  </si>
  <si>
    <t>1908004@lsts.edu.vn</t>
  </si>
  <si>
    <t>Vũ Cao Trâm Anh</t>
  </si>
  <si>
    <t>05/01/2008</t>
  </si>
  <si>
    <t>7904028113</t>
  </si>
  <si>
    <t>1909017@lsts.edu.vn</t>
  </si>
  <si>
    <t>Nguyễn Kim Bảo</t>
  </si>
  <si>
    <t>28/07/2008</t>
  </si>
  <si>
    <t>7976918269</t>
  </si>
  <si>
    <t>1910003@lsts.edu.vn</t>
  </si>
  <si>
    <t>Võ Phú Đức</t>
  </si>
  <si>
    <t>21/01/2008</t>
  </si>
  <si>
    <t>7900710386</t>
  </si>
  <si>
    <t>1906065@lsts.edu.vn</t>
  </si>
  <si>
    <t>Phạm Lê Minh Hà</t>
  </si>
  <si>
    <t>7939830999</t>
  </si>
  <si>
    <t>1906070@lsts.edu.vn</t>
  </si>
  <si>
    <t>Lý Gia Hân</t>
  </si>
  <si>
    <t>31/01/2008</t>
  </si>
  <si>
    <t>7905096801</t>
  </si>
  <si>
    <t>1906078@lsts.edu.vn</t>
  </si>
  <si>
    <t>Nguyễn Huy Hiếu</t>
  </si>
  <si>
    <t>03/10/2008</t>
  </si>
  <si>
    <t>7913707375</t>
  </si>
  <si>
    <t>1906083@lsts.edu.vn</t>
  </si>
  <si>
    <t>Đặng Thiên Hương</t>
  </si>
  <si>
    <t>27/09/2008</t>
  </si>
  <si>
    <t>7939831152</t>
  </si>
  <si>
    <t>1906101@lsts.edu.vn</t>
  </si>
  <si>
    <t>Võ Ngọc Khang</t>
  </si>
  <si>
    <t>03/05/2008</t>
  </si>
  <si>
    <t>7913984525</t>
  </si>
  <si>
    <t>1906114@lsts.edu.vn</t>
  </si>
  <si>
    <t>Bùi Nguyễn Minh Khôi</t>
  </si>
  <si>
    <t>30/10/2008</t>
  </si>
  <si>
    <t>7939831076</t>
  </si>
  <si>
    <t>1906147@lsts.edu.vn</t>
  </si>
  <si>
    <t>Trần Nhật Mai</t>
  </si>
  <si>
    <t>02/08/2008</t>
  </si>
  <si>
    <t>7914490679</t>
  </si>
  <si>
    <t>1906149@lsts.edu.vn</t>
  </si>
  <si>
    <t>Đặng Hoàng Minh</t>
  </si>
  <si>
    <t>10/07/2008</t>
  </si>
  <si>
    <t>7966947389</t>
  </si>
  <si>
    <t>1908003@lsts.edu.vn</t>
  </si>
  <si>
    <t>Phạm Nguyễn Hà My</t>
  </si>
  <si>
    <t>10/12/2008</t>
  </si>
  <si>
    <t>7914329811</t>
  </si>
  <si>
    <t>1906170@lsts.edu.vn</t>
  </si>
  <si>
    <t>Lâm Phương Nghi</t>
  </si>
  <si>
    <t>31/12/2008</t>
  </si>
  <si>
    <t>7939831161</t>
  </si>
  <si>
    <t>1906183@lsts.edu.vn</t>
  </si>
  <si>
    <t>Ngô Hạnh Nhi</t>
  </si>
  <si>
    <t>30/01/2008</t>
  </si>
  <si>
    <t>7909685823</t>
  </si>
  <si>
    <t>1906191@lsts.edu.vn</t>
  </si>
  <si>
    <t>Phan Hoàng Phúc</t>
  </si>
  <si>
    <t>07/11/2008</t>
  </si>
  <si>
    <t>7976918276</t>
  </si>
  <si>
    <t>1910017@lsts.edu.vn</t>
  </si>
  <si>
    <t>Phạm Minh Quân</t>
  </si>
  <si>
    <t>28/02/2008</t>
  </si>
  <si>
    <t>7939831109</t>
  </si>
  <si>
    <t>1906207@lsts.edu.vn</t>
  </si>
  <si>
    <t>Phan Ngọc Thảo</t>
  </si>
  <si>
    <t>19/05/2008</t>
  </si>
  <si>
    <t>7904028149</t>
  </si>
  <si>
    <t>1906214@lsts.edu.vn</t>
  </si>
  <si>
    <t>Nguyễn Đăng Thư</t>
  </si>
  <si>
    <t>08/10/2008</t>
  </si>
  <si>
    <t>7976918275</t>
  </si>
  <si>
    <t>1910016@lsts.edu.vn</t>
  </si>
  <si>
    <t>Nguyễn Huỳnh Việt Tiến</t>
  </si>
  <si>
    <t>7939831038</t>
  </si>
  <si>
    <t>1906231@lsts.edu.vn</t>
  </si>
  <si>
    <t>Nguyễn Nghiêm Trí</t>
  </si>
  <si>
    <t>7904028106</t>
  </si>
  <si>
    <t>1906232@lsts.edu.vn</t>
  </si>
  <si>
    <t>Nguyễn Ngọc Phương Trinh</t>
  </si>
  <si>
    <t>03/01/2008</t>
  </si>
  <si>
    <t>7939831040</t>
  </si>
  <si>
    <t>1906240@lsts.edu.vn</t>
  </si>
  <si>
    <t>Nguyễn Thúy Nhã Uyên</t>
  </si>
  <si>
    <t>7927286525</t>
  </si>
  <si>
    <t>1909001@lsts.edu.vn</t>
  </si>
  <si>
    <t>Phạm Phi Yến</t>
  </si>
  <si>
    <t>17/07/2008</t>
  </si>
  <si>
    <t>9H01</t>
  </si>
  <si>
    <t>7772261284</t>
  </si>
  <si>
    <t>2206034@lsts.edu.vn</t>
  </si>
  <si>
    <t>Nguyễn Ngọc Bảo An</t>
  </si>
  <si>
    <t>12/11/2011</t>
  </si>
  <si>
    <t>7972261533</t>
  </si>
  <si>
    <t>2206162@lsts.edu.vn</t>
  </si>
  <si>
    <t>Lưu Huỳnh Tâm Anh</t>
  </si>
  <si>
    <t>17/09/2011</t>
  </si>
  <si>
    <t>7972261247</t>
  </si>
  <si>
    <t>2206100@lsts.edu.vn</t>
  </si>
  <si>
    <t>Nguyễn Châu Quỳnh Anh</t>
  </si>
  <si>
    <t>25/12/2011</t>
  </si>
  <si>
    <t>7972261326</t>
  </si>
  <si>
    <t>2206006@lsts.edu.vn</t>
  </si>
  <si>
    <t>Nguyễn Trí Anh</t>
  </si>
  <si>
    <t>22/06/2011</t>
  </si>
  <si>
    <t>7962227896</t>
  </si>
  <si>
    <t>2206066@lsts.edu.vn</t>
  </si>
  <si>
    <t>Phạm Châu Anh</t>
  </si>
  <si>
    <t>30/03/2011</t>
  </si>
  <si>
    <t>7954711911</t>
  </si>
  <si>
    <t>2006111@lsts.edu.vn</t>
  </si>
  <si>
    <t>Phạm Lê Quỳnh Anh</t>
  </si>
  <si>
    <t>25/06/2009</t>
  </si>
  <si>
    <t>7972261377</t>
  </si>
  <si>
    <t>2206038@lsts.edu.vn</t>
  </si>
  <si>
    <t>Phạm Minh Anh</t>
  </si>
  <si>
    <t>07/09/2011</t>
  </si>
  <si>
    <t>7972261695</t>
  </si>
  <si>
    <t>2206262@lsts.edu.vn</t>
  </si>
  <si>
    <t>Vũ Hoàng Vân Anh</t>
  </si>
  <si>
    <t>15/05/2011</t>
  </si>
  <si>
    <t>7976049420</t>
  </si>
  <si>
    <t>2209012@lsts.edu.vn</t>
  </si>
  <si>
    <t>Lê Nguyễn Thái Hà</t>
  </si>
  <si>
    <t>09/02/2011</t>
  </si>
  <si>
    <t>7962227758</t>
  </si>
  <si>
    <t>2206077@lsts.edu.vn</t>
  </si>
  <si>
    <t>Hoàng Đình Hải</t>
  </si>
  <si>
    <t>05/07/2011</t>
  </si>
  <si>
    <t>7972261542</t>
  </si>
  <si>
    <t>2206173@lsts.edu.vn</t>
  </si>
  <si>
    <t>Đinh Đức Minh Hiền</t>
  </si>
  <si>
    <t>18/07/2011</t>
  </si>
  <si>
    <t>7962227762</t>
  </si>
  <si>
    <t>2206265@lsts.edu.vn</t>
  </si>
  <si>
    <t>Ngô Thái Nhật Huy</t>
  </si>
  <si>
    <t>26/08/2011</t>
  </si>
  <si>
    <t>7972261352</t>
  </si>
  <si>
    <t>2206296@lsts.edu.vn</t>
  </si>
  <si>
    <t>Nguyễn Thanh Huy</t>
  </si>
  <si>
    <t>03/05/2011</t>
  </si>
  <si>
    <t>7972261353</t>
  </si>
  <si>
    <t>2206298@lsts.edu.vn</t>
  </si>
  <si>
    <t>Đậu Minh Khang</t>
  </si>
  <si>
    <t>23/05/2011</t>
  </si>
  <si>
    <t>6472261295</t>
  </si>
  <si>
    <t>2206110@lsts.edu.vn</t>
  </si>
  <si>
    <t>Lê Hữu Tuấn Khang</t>
  </si>
  <si>
    <t>10/12/2011</t>
  </si>
  <si>
    <t>7972261543</t>
  </si>
  <si>
    <t>2206174@lsts.edu.vn</t>
  </si>
  <si>
    <t>Nguyễn Gia Khang</t>
  </si>
  <si>
    <t>08/01/2011</t>
  </si>
  <si>
    <t>7972261702</t>
  </si>
  <si>
    <t>2206268@lsts.edu.vn</t>
  </si>
  <si>
    <t>Trần Võ Minh Khang</t>
  </si>
  <si>
    <t>06/05/2011</t>
  </si>
  <si>
    <t>7972261545</t>
  </si>
  <si>
    <t>2206175@lsts.edu.vn</t>
  </si>
  <si>
    <t>Trần Nguyễn Ngọc Khánh</t>
  </si>
  <si>
    <t>18/03/2011</t>
  </si>
  <si>
    <t>7972261482</t>
  </si>
  <si>
    <t>2206112@lsts.edu.vn</t>
  </si>
  <si>
    <t>Phạm Anh Khôi</t>
  </si>
  <si>
    <t>20/11/2011</t>
  </si>
  <si>
    <t>7972261726</t>
  </si>
  <si>
    <t>2206148@lsts.edu.vn</t>
  </si>
  <si>
    <t>Lê Quỳnh Nga</t>
  </si>
  <si>
    <t>28/09/2011</t>
  </si>
  <si>
    <t>7972261561</t>
  </si>
  <si>
    <t>2206185@lsts.edu.vn</t>
  </si>
  <si>
    <t>Phạm Khôi Nguyên</t>
  </si>
  <si>
    <t>05/10/2011</t>
  </si>
  <si>
    <t>7972261360</t>
  </si>
  <si>
    <t>2206309@lsts.edu.vn</t>
  </si>
  <si>
    <t>Trần Chí Hải Nguyên</t>
  </si>
  <si>
    <t>7970383409</t>
  </si>
  <si>
    <t>2207004@lsts.edu.vn</t>
  </si>
  <si>
    <t>Lê Chung Hạo Nhiên</t>
  </si>
  <si>
    <t>14/02/2011</t>
  </si>
  <si>
    <t>7972261567</t>
  </si>
  <si>
    <t>2206187@lsts.edu.vn</t>
  </si>
  <si>
    <t>Nguyễn Đức Phát</t>
  </si>
  <si>
    <t>24/02/2011</t>
  </si>
  <si>
    <t>8972261279</t>
  </si>
  <si>
    <t>2206311@lsts.edu.vn</t>
  </si>
  <si>
    <t>Nguyễn Trường Phúc</t>
  </si>
  <si>
    <t>19/02/2011</t>
  </si>
  <si>
    <t>7972261714</t>
  </si>
  <si>
    <t>2206283@lsts.edu.vn</t>
  </si>
  <si>
    <t>Ngô Diệp Quân</t>
  </si>
  <si>
    <t>19/07/2011</t>
  </si>
  <si>
    <t>7972261457</t>
  </si>
  <si>
    <t>2206092@lsts.edu.vn</t>
  </si>
  <si>
    <t>Lê Ngọc Khánh Tâm</t>
  </si>
  <si>
    <t>05/08/2011</t>
  </si>
  <si>
    <t>7972261621</t>
  </si>
  <si>
    <t>2206221@lsts.edu.vn</t>
  </si>
  <si>
    <t>Phạm Đức Trí</t>
  </si>
  <si>
    <t>16/04/2011</t>
  </si>
  <si>
    <t>7972261683</t>
  </si>
  <si>
    <t>2206255@lsts.edu.vn</t>
  </si>
  <si>
    <t>Trần Ngọc Tố Uyên</t>
  </si>
  <si>
    <t>04/03/2011</t>
  </si>
  <si>
    <t>30</t>
  </si>
  <si>
    <t>7972261277</t>
  </si>
  <si>
    <t>2206032@lsts.edu.vn</t>
  </si>
  <si>
    <t>Lê Võ Tường Vy</t>
  </si>
  <si>
    <t>04/09/2011</t>
  </si>
  <si>
    <t>9H02</t>
  </si>
  <si>
    <t>7972261321</t>
  </si>
  <si>
    <t>2206001@lsts.edu.vn</t>
  </si>
  <si>
    <t>Nguyễn Khánh Bảo An</t>
  </si>
  <si>
    <t>30/04/2011</t>
  </si>
  <si>
    <t>7972261324</t>
  </si>
  <si>
    <t>2206004@lsts.edu.vn</t>
  </si>
  <si>
    <t>Nguyễn Bùi Linh Anh</t>
  </si>
  <si>
    <t>24/10/2011</t>
  </si>
  <si>
    <t>7972261253</t>
  </si>
  <si>
    <t>2206163@lsts.edu.vn</t>
  </si>
  <si>
    <t>Trần Ngọc Minh Anh</t>
  </si>
  <si>
    <t>22/01/2011</t>
  </si>
  <si>
    <t>7972261426</t>
  </si>
  <si>
    <t>2206068@lsts.edu.vn</t>
  </si>
  <si>
    <t>Đào Minh Ánh</t>
  </si>
  <si>
    <t>03/07/2011</t>
  </si>
  <si>
    <t>7972261233</t>
  </si>
  <si>
    <t>2206009@lsts.edu.vn</t>
  </si>
  <si>
    <t>Tôn Thất Phan Đa</t>
  </si>
  <si>
    <t>24/03/2011</t>
  </si>
  <si>
    <t>7972261696</t>
  </si>
  <si>
    <t>2206264@lsts.edu.vn</t>
  </si>
  <si>
    <t>Phan Vũ Linh Đan</t>
  </si>
  <si>
    <t>12/04/2011</t>
  </si>
  <si>
    <t>7972261505</t>
  </si>
  <si>
    <t>2206134@lsts.edu.vn</t>
  </si>
  <si>
    <t>Võ Công Minh Đăng</t>
  </si>
  <si>
    <t>02/03/2011</t>
  </si>
  <si>
    <t>7972261299</t>
  </si>
  <si>
    <t>2206169@lsts.edu.vn</t>
  </si>
  <si>
    <t>Huỳnh Ngọc Hương Giang</t>
  </si>
  <si>
    <t>18/06/2011</t>
  </si>
  <si>
    <t>3472261297</t>
  </si>
  <si>
    <t>2206136@lsts.edu.vn</t>
  </si>
  <si>
    <t>Nguyễn Thị Bảo Hân</t>
  </si>
  <si>
    <t>29/11/2011</t>
  </si>
  <si>
    <t>7972261381</t>
  </si>
  <si>
    <t>2206042@lsts.edu.vn</t>
  </si>
  <si>
    <t>Võ Nguyên Hân</t>
  </si>
  <si>
    <t>7972261635</t>
  </si>
  <si>
    <t>2206235@lsts.edu.vn</t>
  </si>
  <si>
    <t>Thân Lê Việt Hoàng</t>
  </si>
  <si>
    <t>19/11/2011</t>
  </si>
  <si>
    <t>7972261241</t>
  </si>
  <si>
    <t>2206297@lsts.edu.vn</t>
  </si>
  <si>
    <t>Đặng Huỳnh Gia Khang</t>
  </si>
  <si>
    <t>7972261651</t>
  </si>
  <si>
    <t>2206240@lsts.edu.vn</t>
  </si>
  <si>
    <t>Lê Đình Nguyên Khang</t>
  </si>
  <si>
    <t>20/02/2011</t>
  </si>
  <si>
    <t>7972261700</t>
  </si>
  <si>
    <t>2206266@lsts.edu.vn</t>
  </si>
  <si>
    <t>Nguyễn Vĩnh Khang</t>
  </si>
  <si>
    <t>01/09/2011</t>
  </si>
  <si>
    <t>7972261510</t>
  </si>
  <si>
    <t>2206141@lsts.edu.vn</t>
  </si>
  <si>
    <t>Trần Đặng Minh Khôi</t>
  </si>
  <si>
    <t>7972261662</t>
  </si>
  <si>
    <t>2206243@lsts.edu.vn</t>
  </si>
  <si>
    <t>Đào Đức Lâm</t>
  </si>
  <si>
    <t>21/02/2011</t>
  </si>
  <si>
    <t>7972261255</t>
  </si>
  <si>
    <t>2206180@lsts.edu.vn</t>
  </si>
  <si>
    <t>Lê Nguyễn Bảo Long</t>
  </si>
  <si>
    <t>21/10/2011</t>
  </si>
  <si>
    <t>7972261721</t>
  </si>
  <si>
    <t>2206305@lsts.edu.vn</t>
  </si>
  <si>
    <t>Cao Hồ Anh Luân</t>
  </si>
  <si>
    <t>12/03/2011</t>
  </si>
  <si>
    <t>7972261607</t>
  </si>
  <si>
    <t>2206209@lsts.edu.vn</t>
  </si>
  <si>
    <t>Ngô Quang Minh</t>
  </si>
  <si>
    <t>7972261450</t>
  </si>
  <si>
    <t>2206086@lsts.edu.vn</t>
  </si>
  <si>
    <t>Nguyễn Hoàng My</t>
  </si>
  <si>
    <t>08/11/2011</t>
  </si>
  <si>
    <t>0172261308</t>
  </si>
  <si>
    <t>2206210@lsts.edu.vn</t>
  </si>
  <si>
    <t>Nguyễn Ngọc Hà My</t>
  </si>
  <si>
    <t>28/10/2011</t>
  </si>
  <si>
    <t>7972261609</t>
  </si>
  <si>
    <t>2206212@lsts.edu.vn</t>
  </si>
  <si>
    <t>Nguyễn Gia Nghi</t>
  </si>
  <si>
    <t>7948671232</t>
  </si>
  <si>
    <t>2206214@lsts.edu.vn</t>
  </si>
  <si>
    <t>Trần Nguyễn Bảo Ngọc</t>
  </si>
  <si>
    <t>31/01/2011</t>
  </si>
  <si>
    <t>7972261317</t>
  </si>
  <si>
    <t>2206278@lsts.edu.vn</t>
  </si>
  <si>
    <t>Nguyễn Thái Thảo Nguyên</t>
  </si>
  <si>
    <t>26/05/2011</t>
  </si>
  <si>
    <t>7972261271</t>
  </si>
  <si>
    <t>2206250@lsts.edu.vn</t>
  </si>
  <si>
    <t>Hannah Arlongkornchai Phạm</t>
  </si>
  <si>
    <t>30/01/2011</t>
  </si>
  <si>
    <t>7972261363</t>
  </si>
  <si>
    <t>2206315@lsts.edu.vn</t>
  </si>
  <si>
    <t>Trương Bảo Quyên</t>
  </si>
  <si>
    <t>08/08/2011</t>
  </si>
  <si>
    <t>8672261313</t>
  </si>
  <si>
    <t>2206220@lsts.edu.vn</t>
  </si>
  <si>
    <t>Hà Duy Toàn</t>
  </si>
  <si>
    <t>06/01/2011</t>
  </si>
  <si>
    <t>7972261462</t>
  </si>
  <si>
    <t>2206095@lsts.edu.vn</t>
  </si>
  <si>
    <t>Minami Minh Trang</t>
  </si>
  <si>
    <t>26/11/2011</t>
  </si>
  <si>
    <t>7972261414</t>
  </si>
  <si>
    <t>2206061@lsts.edu.vn</t>
  </si>
  <si>
    <t>Trần Hồ Thanh Trúc</t>
  </si>
  <si>
    <t>12/01/2011</t>
  </si>
  <si>
    <t>7972261716</t>
  </si>
  <si>
    <t>2206286@lsts.edu.vn</t>
  </si>
  <si>
    <t>Nguyễn Đình Trung</t>
  </si>
  <si>
    <t>25/11/2011</t>
  </si>
  <si>
    <t>9H03</t>
  </si>
  <si>
    <t>7972261684</t>
  </si>
  <si>
    <t>2206257@lsts.edu.vn</t>
  </si>
  <si>
    <t>Huỳnh Phạm Thiên An</t>
  </si>
  <si>
    <t>7962227753</t>
  </si>
  <si>
    <t>2206289@lsts.edu.vn</t>
  </si>
  <si>
    <t>Hà Mai Anh</t>
  </si>
  <si>
    <t>31/07/2011</t>
  </si>
  <si>
    <t>7972261240</t>
  </si>
  <si>
    <t>2206290@lsts.edu.vn</t>
  </si>
  <si>
    <t>Nguyễn Nhật Bảo Châu</t>
  </si>
  <si>
    <t>02/02/2011</t>
  </si>
  <si>
    <t>7972261470</t>
  </si>
  <si>
    <t>2206104@lsts.edu.vn</t>
  </si>
  <si>
    <t>Nguyễn Thành Chương</t>
  </si>
  <si>
    <t>15/01/2011</t>
  </si>
  <si>
    <t>7962227757</t>
  </si>
  <si>
    <t>2206229@lsts.edu.vn</t>
  </si>
  <si>
    <t>Lưu Ngọc Thùy Dương</t>
  </si>
  <si>
    <t>07/04/2011</t>
  </si>
  <si>
    <t>7972261476</t>
  </si>
  <si>
    <t>2206106@lsts.edu.vn</t>
  </si>
  <si>
    <t>Nguyễn Phạm Thùy Dương</t>
  </si>
  <si>
    <t>29/03/2011</t>
  </si>
  <si>
    <t>7972261328</t>
  </si>
  <si>
    <t>2206011@lsts.edu.vn</t>
  </si>
  <si>
    <t>Siddhi Prashant Fataniya</t>
  </si>
  <si>
    <t>03/12/2011</t>
  </si>
  <si>
    <t>7972261437</t>
  </si>
  <si>
    <t>2206078@lsts.edu.vn</t>
  </si>
  <si>
    <t>Đặng Gia Hân</t>
  </si>
  <si>
    <t>15/07/2011</t>
  </si>
  <si>
    <t>7972261590</t>
  </si>
  <si>
    <t>2206200@lsts.edu.vn</t>
  </si>
  <si>
    <t>Phạm Tuấn Hòa</t>
  </si>
  <si>
    <t>22/02/2011</t>
  </si>
  <si>
    <t>7972261269</t>
  </si>
  <si>
    <t>2206239@lsts.edu.vn</t>
  </si>
  <si>
    <t>Phạm Quỳnh Hương</t>
  </si>
  <si>
    <t>23/03/2011</t>
  </si>
  <si>
    <t>7972261481</t>
  </si>
  <si>
    <t>2206111@lsts.edu.vn</t>
  </si>
  <si>
    <t>Huỳnh Phúc Khánh</t>
  </si>
  <si>
    <t>8772261291</t>
  </si>
  <si>
    <t>2206080@lsts.edu.vn</t>
  </si>
  <si>
    <t>Lê Gia Khánh</t>
  </si>
  <si>
    <t>19/09/2011</t>
  </si>
  <si>
    <t>7962227766</t>
  </si>
  <si>
    <t>2206300@lsts.edu.vn</t>
  </si>
  <si>
    <t>Lê Bá Duy Khiêm</t>
  </si>
  <si>
    <t>23/06/2011</t>
  </si>
  <si>
    <t>7972261706</t>
  </si>
  <si>
    <t>2206275@lsts.edu.vn</t>
  </si>
  <si>
    <t>Phan Thị Xuân Mai</t>
  </si>
  <si>
    <t>04/10/2011</t>
  </si>
  <si>
    <t>7972261605</t>
  </si>
  <si>
    <t>2206208@lsts.edu.vn</t>
  </si>
  <si>
    <t>Lê Hồng Minh</t>
  </si>
  <si>
    <t>7972261516</t>
  </si>
  <si>
    <t>2206147@lsts.edu.vn</t>
  </si>
  <si>
    <t>Nguyễn Hoàng Tri Nam</t>
  </si>
  <si>
    <t>15/10/2011</t>
  </si>
  <si>
    <t>7972261452</t>
  </si>
  <si>
    <t>2206088@lsts.edu.vn</t>
  </si>
  <si>
    <t>Nguyễn Thành Nam</t>
  </si>
  <si>
    <t>09/05/2011</t>
  </si>
  <si>
    <t>0172261303</t>
  </si>
  <si>
    <t>2206182@lsts.edu.vn</t>
  </si>
  <si>
    <t>Dương Minh Ngọc</t>
  </si>
  <si>
    <t>05/05/2011</t>
  </si>
  <si>
    <t>7972261674</t>
  </si>
  <si>
    <t>2206247@lsts.edu.vn</t>
  </si>
  <si>
    <t>Cao Nguyên</t>
  </si>
  <si>
    <t>05/03/2011</t>
  </si>
  <si>
    <t>7972261557</t>
  </si>
  <si>
    <t>2206184@lsts.edu.vn</t>
  </si>
  <si>
    <t>Nguyễn Thảo Nguyên</t>
  </si>
  <si>
    <t>06/03/2011</t>
  </si>
  <si>
    <t>7962227736</t>
  </si>
  <si>
    <t>2206121@lsts.edu.vn</t>
  </si>
  <si>
    <t>Võ Tuệ Nhi</t>
  </si>
  <si>
    <t>7972261454</t>
  </si>
  <si>
    <t>2206089@lsts.edu.vn</t>
  </si>
  <si>
    <t>Huỳnh Gia Phát</t>
  </si>
  <si>
    <t>02/10/2011</t>
  </si>
  <si>
    <t>7972261365</t>
  </si>
  <si>
    <t>2206316@lsts.edu.vn</t>
  </si>
  <si>
    <t>Nguyễn Thành Tài</t>
  </si>
  <si>
    <t>7972261461</t>
  </si>
  <si>
    <t>2206094@lsts.edu.vn</t>
  </si>
  <si>
    <t>Nguyễn Đình Mai Thảo</t>
  </si>
  <si>
    <t>7972261407</t>
  </si>
  <si>
    <t>2206056@lsts.edu.vn</t>
  </si>
  <si>
    <t>Nguyễn Trường Thịnh</t>
  </si>
  <si>
    <t>7959892136</t>
  </si>
  <si>
    <t>2206222@lsts.edu.vn</t>
  </si>
  <si>
    <t>Trần Nhã Trúc</t>
  </si>
  <si>
    <t>19/01/2011</t>
  </si>
  <si>
    <t>7972261569</t>
  </si>
  <si>
    <t>2206189@lsts.edu.vn</t>
  </si>
  <si>
    <t>Nguyễn Peter Anh Tú</t>
  </si>
  <si>
    <t>7970383391</t>
  </si>
  <si>
    <t>2207003@lsts.edu.vn</t>
  </si>
  <si>
    <t>Lê Nguyễn Lam Vy</t>
  </si>
  <si>
    <t>7970608783</t>
  </si>
  <si>
    <t>2209011@lsts.edu.vn</t>
  </si>
  <si>
    <t>Nguyễn Ngô Như Ý</t>
  </si>
  <si>
    <t>15/08/2011</t>
  </si>
  <si>
    <t>9H07</t>
  </si>
  <si>
    <t>7969163987</t>
  </si>
  <si>
    <t>2209001@lsts.edu.vn</t>
  </si>
  <si>
    <t>Nguyễn Viết An</t>
  </si>
  <si>
    <t>08/09/2011</t>
  </si>
  <si>
    <t>7972261466</t>
  </si>
  <si>
    <t>2206098@lsts.edu.vn</t>
  </si>
  <si>
    <t>Đặng Nhật Anh</t>
  </si>
  <si>
    <t>7972261532</t>
  </si>
  <si>
    <t>2206161@lsts.edu.vn</t>
  </si>
  <si>
    <t>Huỳnh Trúc Anh</t>
  </si>
  <si>
    <t>20/07/2011</t>
  </si>
  <si>
    <t>7972261325</t>
  </si>
  <si>
    <t>2206005@lsts.edu.vn</t>
  </si>
  <si>
    <t>Nguyễn Đinh Diệp Anh</t>
  </si>
  <si>
    <t>7972261626</t>
  </si>
  <si>
    <t>2206226@lsts.edu.vn</t>
  </si>
  <si>
    <t>Ngô Bảo Châu</t>
  </si>
  <si>
    <t>05/06/2011</t>
  </si>
  <si>
    <t>7972261630</t>
  </si>
  <si>
    <t>2206232@lsts.edu.vn</t>
  </si>
  <si>
    <t>Nguyễn Vũ Nhã Đoan</t>
  </si>
  <si>
    <t>13/01/2011</t>
  </si>
  <si>
    <t>7972261433</t>
  </si>
  <si>
    <t>2206075@lsts.edu.vn</t>
  </si>
  <si>
    <t>Nguyễn Anh Đức</t>
  </si>
  <si>
    <t>31/05/2011</t>
  </si>
  <si>
    <t>7972261538</t>
  </si>
  <si>
    <t>2206168@lsts.edu.vn</t>
  </si>
  <si>
    <t>Trần Quốc Dũng</t>
  </si>
  <si>
    <t>11/08/2011</t>
  </si>
  <si>
    <t>7972261232</t>
  </si>
  <si>
    <t>2206008@lsts.edu.vn</t>
  </si>
  <si>
    <t>Đỗ Minh Duy</t>
  </si>
  <si>
    <t>26/12/2011</t>
  </si>
  <si>
    <t>7937126089</t>
  </si>
  <si>
    <t>2209002@lsts.edu.vn</t>
  </si>
  <si>
    <t>Nguyễn Song Giang</t>
  </si>
  <si>
    <t>22/12/2011</t>
  </si>
  <si>
    <t>7972261719</t>
  </si>
  <si>
    <t>2206292@lsts.edu.vn</t>
  </si>
  <si>
    <t>Từ Thúy Hà</t>
  </si>
  <si>
    <t>28/03/2011</t>
  </si>
  <si>
    <t>7972261703</t>
  </si>
  <si>
    <t>2206269@lsts.edu.vn</t>
  </si>
  <si>
    <t>Lê Thanh Bảo Khánh</t>
  </si>
  <si>
    <t>08/04/2011</t>
  </si>
  <si>
    <t>7972261386</t>
  </si>
  <si>
    <t>2206046@lsts.edu.vn</t>
  </si>
  <si>
    <t>Hồ Tấn Khôi</t>
  </si>
  <si>
    <t>13/02/2011</t>
  </si>
  <si>
    <t>7972261598</t>
  </si>
  <si>
    <t>2206205@lsts.edu.vn</t>
  </si>
  <si>
    <t>Lê Anh Khôi</t>
  </si>
  <si>
    <t>7972261546</t>
  </si>
  <si>
    <t>2206176@lsts.edu.vn</t>
  </si>
  <si>
    <t>Nguyễn Đăng Khương</t>
  </si>
  <si>
    <t>24/08/2011</t>
  </si>
  <si>
    <t>7972261548</t>
  </si>
  <si>
    <t>2206177@lsts.edu.vn</t>
  </si>
  <si>
    <t>Nguyễn Đắc Tùng Lâm</t>
  </si>
  <si>
    <t>12/08/2011</t>
  </si>
  <si>
    <t>7972261446</t>
  </si>
  <si>
    <t>2206084@lsts.edu.vn</t>
  </si>
  <si>
    <t>Lê Đức Minh</t>
  </si>
  <si>
    <t>0172261287</t>
  </si>
  <si>
    <t>2206052@lsts.edu.vn</t>
  </si>
  <si>
    <t>Nguyễn Đỗ Hà My</t>
  </si>
  <si>
    <t>10/11/2011</t>
  </si>
  <si>
    <t>7972261489</t>
  </si>
  <si>
    <t>2206117@lsts.edu.vn</t>
  </si>
  <si>
    <t>Phan Kỳ Nam</t>
  </si>
  <si>
    <t>14/08/2011</t>
  </si>
  <si>
    <t>7972261517</t>
  </si>
  <si>
    <t>2206149@lsts.edu.vn</t>
  </si>
  <si>
    <t>Nguyễn Bảo Nghi</t>
  </si>
  <si>
    <t>21/04/2011</t>
  </si>
  <si>
    <t>9272261276</t>
  </si>
  <si>
    <t>2206025@lsts.edu.vn</t>
  </si>
  <si>
    <t>Nguyễn Vĩnh Phú</t>
  </si>
  <si>
    <t>7972261522</t>
  </si>
  <si>
    <t>2206153@lsts.edu.vn</t>
  </si>
  <si>
    <t>Hoàng Ngọc Phương</t>
  </si>
  <si>
    <t>7972261256</t>
  </si>
  <si>
    <t>2206188@lsts.edu.vn</t>
  </si>
  <si>
    <t>Trịnh Mai Phương</t>
  </si>
  <si>
    <t>26/10/2011</t>
  </si>
  <si>
    <t>8272261362</t>
  </si>
  <si>
    <t>2206313@lsts.edu.vn</t>
  </si>
  <si>
    <t>Ngô Đoàn Kỳ Quang</t>
  </si>
  <si>
    <t>07/02/2011</t>
  </si>
  <si>
    <t>7972261455</t>
  </si>
  <si>
    <t>2206091@lsts.edu.vn</t>
  </si>
  <si>
    <t>Nguyễn Thế Quang</t>
  </si>
  <si>
    <t>7972261272</t>
  </si>
  <si>
    <t>2206254@lsts.edu.vn</t>
  </si>
  <si>
    <t>Nguyễn Phạm Phương Thảo</t>
  </si>
  <si>
    <t>7972261411</t>
  </si>
  <si>
    <t>2206058@lsts.edu.vn</t>
  </si>
  <si>
    <t>Nguyễn Phan Thanh Thúy</t>
  </si>
  <si>
    <t>03/04/2011</t>
  </si>
  <si>
    <t>7972261419</t>
  </si>
  <si>
    <t>2206064@lsts.edu.vn</t>
  </si>
  <si>
    <t>Nguyễn Ngọc Bạch Yến</t>
  </si>
  <si>
    <t>10F2</t>
  </si>
  <si>
    <t>7939735860</t>
  </si>
  <si>
    <t>2107018@lsts.edu.vn</t>
  </si>
  <si>
    <t>Vũ Thiên An</t>
  </si>
  <si>
    <t>12/09/2010</t>
  </si>
  <si>
    <t>7982708662</t>
  </si>
  <si>
    <t>2110001@lsts.edu.vn</t>
  </si>
  <si>
    <t>Đặng Ngọc Minh Anh</t>
  </si>
  <si>
    <t>10/02/2010</t>
  </si>
  <si>
    <t>7926735798</t>
  </si>
  <si>
    <t>2106077@lsts.edu.vn</t>
  </si>
  <si>
    <t>Trần Hà Quế Chi</t>
  </si>
  <si>
    <t>25/06/2010</t>
  </si>
  <si>
    <t>10F1</t>
  </si>
  <si>
    <t>7925828318</t>
  </si>
  <si>
    <t>2106043@lsts.edu.vn</t>
  </si>
  <si>
    <t>Trần Quốc Nhật Đăng</t>
  </si>
  <si>
    <t>07/10/2010</t>
  </si>
  <si>
    <t>7965951207</t>
  </si>
  <si>
    <t>2106157@lsts.edu.vn</t>
  </si>
  <si>
    <t>Trần Khánh Hân</t>
  </si>
  <si>
    <t>19/10/2010</t>
  </si>
  <si>
    <t>7949028877</t>
  </si>
  <si>
    <t>2110016@lsts.edu.vn</t>
  </si>
  <si>
    <t>Trần Nguyên Kha</t>
  </si>
  <si>
    <t>16/08/2010</t>
  </si>
  <si>
    <t>10A2</t>
  </si>
  <si>
    <t>7965951096</t>
  </si>
  <si>
    <t>2106050@lsts.edu.vn</t>
  </si>
  <si>
    <t>Lê Nguyễn Phúc Khang</t>
  </si>
  <si>
    <t>01/08/2010</t>
  </si>
  <si>
    <t>7941660363</t>
  </si>
  <si>
    <t>2107019@lsts.edu.vn</t>
  </si>
  <si>
    <t>Trần Hoài Khang</t>
  </si>
  <si>
    <t>13/01/2010</t>
  </si>
  <si>
    <t>7965951098</t>
  </si>
  <si>
    <t>2106221@lsts.edu.vn</t>
  </si>
  <si>
    <t>Nguyễn Cát Khánh</t>
  </si>
  <si>
    <t>19/03/2010</t>
  </si>
  <si>
    <t>7965951059</t>
  </si>
  <si>
    <t>2106160@lsts.edu.vn</t>
  </si>
  <si>
    <t>Đỗ Anh Khoa</t>
  </si>
  <si>
    <t>23/03/2010</t>
  </si>
  <si>
    <t>7937595064</t>
  </si>
  <si>
    <t>2108015@lsts.edu.vn</t>
  </si>
  <si>
    <t>Lê Võ Minh Khôi</t>
  </si>
  <si>
    <t>24/06/2010</t>
  </si>
  <si>
    <t>7924539916</t>
  </si>
  <si>
    <t>2106158@lsts.edu.vn</t>
  </si>
  <si>
    <t>Nguyễn Trọng Kiên</t>
  </si>
  <si>
    <t>13/02/2010</t>
  </si>
  <si>
    <t>10A1</t>
  </si>
  <si>
    <t>7966247118</t>
  </si>
  <si>
    <t>2107012@lsts.edu.vn</t>
  </si>
  <si>
    <t>Dương Quang Lập</t>
  </si>
  <si>
    <t>25/01/2010</t>
  </si>
  <si>
    <t>7926730716</t>
  </si>
  <si>
    <t>2107020@lsts.edu.vn</t>
  </si>
  <si>
    <t>Huỳnh Quang Lộc</t>
  </si>
  <si>
    <t>17/11/2010</t>
  </si>
  <si>
    <t>7965951256</t>
  </si>
  <si>
    <t>2106203@lsts.edu.vn</t>
  </si>
  <si>
    <t>Nguyễn Đình Quang Minh</t>
  </si>
  <si>
    <t>20/01/2010</t>
  </si>
  <si>
    <t>7927755049</t>
  </si>
  <si>
    <t>2106019@lsts.edu.vn</t>
  </si>
  <si>
    <t>Đào Kim Ngân</t>
  </si>
  <si>
    <t>05/01/2010</t>
  </si>
  <si>
    <t>7925401212</t>
  </si>
  <si>
    <t>2107033@lsts.edu.vn</t>
  </si>
  <si>
    <t>Huỳnh Nguyễn Bảo Nghi</t>
  </si>
  <si>
    <t>04/11/2010</t>
  </si>
  <si>
    <t>7962071478</t>
  </si>
  <si>
    <t>2107003@lsts.edu.vn</t>
  </si>
  <si>
    <t>Nguyễn Phương Nghi</t>
  </si>
  <si>
    <t>20/07/2010</t>
  </si>
  <si>
    <t>7963199074</t>
  </si>
  <si>
    <t>2108002@lsts.edu.vn</t>
  </si>
  <si>
    <t>Trần Uyên Nghi</t>
  </si>
  <si>
    <t>31/01/2010</t>
  </si>
  <si>
    <t>3465951222</t>
  </si>
  <si>
    <t>2106171@lsts.edu.vn</t>
  </si>
  <si>
    <t>Nguyễn Hoàng Minh Ngọc</t>
  </si>
  <si>
    <t>10/08/2010</t>
  </si>
  <si>
    <t>7926731173</t>
  </si>
  <si>
    <t>2106095@lsts.edu.vn</t>
  </si>
  <si>
    <t>Nguyễn Khánh Ngọc</t>
  </si>
  <si>
    <t>09/01/2010</t>
  </si>
  <si>
    <t>7928261265</t>
  </si>
  <si>
    <t>2106205@lsts.edu.vn</t>
  </si>
  <si>
    <t>Võ Cát Định Nguyên</t>
  </si>
  <si>
    <t>13/04/2010</t>
  </si>
  <si>
    <t>7988530875</t>
  </si>
  <si>
    <t>2110030@lsts.edu.vn</t>
  </si>
  <si>
    <t>Nguyễn Bá Phong</t>
  </si>
  <si>
    <t>22/02/2010</t>
  </si>
  <si>
    <t>2106219@lsts.edu.vn</t>
  </si>
  <si>
    <t>Võ Đức Tài</t>
  </si>
  <si>
    <t>09/12/2010</t>
  </si>
  <si>
    <t>7942595748</t>
  </si>
  <si>
    <t>2110032@lsts.edu.vn</t>
  </si>
  <si>
    <t>Nguyễn Phương Thảo</t>
  </si>
  <si>
    <t>04/08/2010</t>
  </si>
  <si>
    <t>7965951151</t>
  </si>
  <si>
    <t>2106099@lsts.edu.vn</t>
  </si>
  <si>
    <t>Trần Thị Thuỷ Tiên</t>
  </si>
  <si>
    <t>24/03/2010</t>
  </si>
  <si>
    <t>8006607113</t>
  </si>
  <si>
    <t>2107049@lsts.edu.vn</t>
  </si>
  <si>
    <t>Phan Thị Bích Trâm</t>
  </si>
  <si>
    <t>21/05/2010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</si>
</sst>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16" fontId="0" fillId="0" borderId="0" xfId="0" applyNumberFormat="1"/>
    <xf numFmtId="0" fontId="0" fillId="3" borderId="0" xfId="0" applyFill="1"/>
    <xf numFmtId="0" fontId="0" fillId="4" borderId="0" xfId="0" applyFill="1"/>
    <xf numFmtId="0" fontId="0" fillId="5" borderId="0" xfId="0" applyFill="1"/>
    <xf numFmtId="164" fontId="0" fillId="0" borderId="0" xfId="0" applyNumberFormat="1"/>
    <xf numFmtId="164" fontId="0" fillId="4" borderId="0" xfId="0" applyNumberFormat="1" applyFill="1"/>
    <xf numFmtId="164" fontId="0" fillId="3" borderId="0" xfId="0" applyNumberFormat="1" applyFill="1"/>
    <xf numFmtId="0" fontId="0" fillId="6" borderId="0" xfId="0" applyFill="1"/>
  </cellXfs>
  <cellStyles count="1">
    <cellStyle name="Bình thường" xfId="0" builtinId="0"/>
  </cellStyles>
  <dxfs count="18"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39997558519241921"/>
        </patternFill>
      </fill>
    </dxf>
    <dxf>
      <fill>
        <patternFill>
          <fgColor indexed="64"/>
          <bgColor theme="9" tint="0.79998168889431442"/>
        </patternFill>
      </fill>
    </dxf>
    <dxf>
      <fill>
        <patternFill>
          <fgColor indexed="64"/>
          <bgColor theme="9" tint="0.39997558519241921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39997558519241921"/>
        </patternFill>
      </fill>
    </dxf>
    <dxf>
      <fill>
        <patternFill patternType="solid">
          <fgColor indexed="64"/>
          <bgColor theme="9" tint="0.79998168889431442"/>
        </patternFill>
      </fill>
    </dxf>
    <dxf>
      <numFmt numFmtId="164" formatCode="0.0"/>
    </dxf>
    <dxf>
      <numFmt numFmtId="164" formatCode="0.0"/>
    </dxf>
    <dxf>
      <fill>
        <patternFill patternType="solid">
          <fgColor indexed="64"/>
          <bgColor theme="9" tint="0.39997558519241921"/>
        </patternFill>
      </fill>
    </dxf>
    <dxf>
      <fill>
        <patternFill>
          <fgColor indexed="64"/>
          <bgColor theme="9" tint="0.79998168889431442"/>
        </patternFill>
      </fill>
    </dxf>
    <dxf>
      <numFmt numFmtId="164" formatCode="0.0"/>
    </dxf>
    <dxf>
      <numFmt numFmtId="164" formatCode="0.0"/>
    </dxf>
    <dxf>
      <fill>
        <patternFill>
          <fgColor indexed="64"/>
          <bgColor theme="9" tint="0.39997558519241921"/>
        </patternFill>
      </fill>
    </dxf>
    <dxf>
      <fill>
        <patternFill>
          <fgColor indexed="64"/>
          <bgColor theme="9" tint="0.79998168889431442"/>
        </patternFill>
      </fill>
    </dxf>
    <dxf>
      <fill>
        <patternFill>
          <fgColor indexed="64"/>
          <bgColor theme="9" tint="0.39997558519241921"/>
        </patternFill>
      </fill>
    </dxf>
    <dxf>
      <fill>
        <patternFill>
          <fgColor indexed="64"/>
          <bgColor theme="9" tint="0.79998168889431442"/>
        </patternFill>
      </fill>
    </dxf>
    <dxf>
      <fill>
        <patternFill>
          <fgColor indexed="64"/>
          <bgColor theme="9" tint="0.399975585192419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8CAEABF-E66E-4EA0-B5F0-45BB7B7C8283}" name="Table134567" displayName="Table134567" ref="A1:O31" totalsRowShown="0">
  <autoFilter ref="A1:O31" xr:uid="{87B4C68E-52B0-44CE-94D4-AC3C5E059EEF}"/>
  <tableColumns count="15">
    <tableColumn id="1" xr3:uid="{87738BB3-F223-40DE-A3F1-6495839DEA66}" name="STT"/>
    <tableColumn id="2" xr3:uid="{11264E93-FA91-4F59-BD4B-C1C037FAA83D}" name="Tên lớp"/>
    <tableColumn id="15" xr3:uid="{663E2F38-52E7-4DEC-8BF6-EC09A6ED999C}" name="Mã định danh"/>
    <tableColumn id="3" xr3:uid="{6244EDF7-7044-4E20-8F14-297F251103AC}" name="MSHS"/>
    <tableColumn id="4" xr3:uid="{8A570531-1F2E-496F-81CB-604F321E21CA}" name="Email"/>
    <tableColumn id="5" xr3:uid="{A02E2B85-AB61-40A1-9F4B-D979CAC0B617}" name="Họ và tên"/>
    <tableColumn id="6" xr3:uid="{2FFEAA5A-8746-4BD9-98AB-DBD4E8A4A25E}" name="Ngày sinh"/>
    <tableColumn id="7" xr3:uid="{73647768-883D-4881-AC08-329C42F7CAF5}" name="TX1" dataDxfId="17"/>
    <tableColumn id="8" xr3:uid="{F07CAD0F-FE6E-43E3-A5F3-7B413864403F}" name="TX2"/>
    <tableColumn id="14" xr3:uid="{5AFF0A24-6235-4A06-8319-FC8208F8B70E}" name="TX3"/>
    <tableColumn id="9" xr3:uid="{EE5EFA3E-6E5D-4CC4-AF4D-352CC7E2323A}" name="GKTN"/>
    <tableColumn id="10" xr3:uid="{C094DE6A-6F36-4C2C-9BA8-FC6279DB205D}" name="GKTH"/>
    <tableColumn id="11" xr3:uid="{6A74C0A7-2690-4619-8688-B10403D4B1A9}" name="CKTN"/>
    <tableColumn id="12" xr3:uid="{32C992A3-1937-4FAD-93D0-760AAC028DCA}" name="CKTH"/>
    <tableColumn id="13" xr3:uid="{D56AE305-8846-4965-9E4A-4C7CCC2ED78A}" name="Điểm cộng/trừ" dataDxfId="1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053C834-5E03-4C8A-8CA8-EB4B0CD7BAD8}" name="Table1345678" displayName="Table1345678" ref="A1:O31" totalsRowShown="0">
  <autoFilter ref="A1:O31" xr:uid="{87B4C68E-52B0-44CE-94D4-AC3C5E059EEF}"/>
  <tableColumns count="15">
    <tableColumn id="1" xr3:uid="{380F80C6-CB38-4814-82CB-2252208DAA8B}" name="STT"/>
    <tableColumn id="2" xr3:uid="{F366DE0B-A4F5-4E70-BA9A-24B56B9D0D35}" name="Tên lớp"/>
    <tableColumn id="15" xr3:uid="{F546ED14-29B4-41AC-BEC9-4BD5F9F39F22}" name="Mã định danh"/>
    <tableColumn id="3" xr3:uid="{81AF2768-B1A6-422C-8284-4DAA0BC48AAE}" name="MSHS"/>
    <tableColumn id="4" xr3:uid="{C5D3CFB0-FAF6-4D1E-A475-E7FA9D71AB5D}" name="Email"/>
    <tableColumn id="5" xr3:uid="{91C2DDE5-F074-4EAC-88F7-79EA00D266CC}" name="Họ và tên"/>
    <tableColumn id="6" xr3:uid="{226EBCCE-5C9A-4CBC-8056-733B010D8131}" name="Ngày sinh"/>
    <tableColumn id="7" xr3:uid="{F73C8D4B-448F-461E-BE91-2ED211DEF252}" name="TX1" dataDxfId="15"/>
    <tableColumn id="8" xr3:uid="{A1579224-363E-453E-9563-D540AA688406}" name="TX2"/>
    <tableColumn id="14" xr3:uid="{6F87760A-1A5B-4020-811F-F2DFA92559E8}" name="TX3"/>
    <tableColumn id="9" xr3:uid="{7460001B-4B51-4627-B19E-56E68A476EC5}" name="GKTN"/>
    <tableColumn id="10" xr3:uid="{CE0203A2-6C00-4623-82AD-1BFF8ACD360C}" name="GKTH"/>
    <tableColumn id="11" xr3:uid="{7428E339-3333-4B74-963C-C009887E1C5C}" name="CKTN"/>
    <tableColumn id="12" xr3:uid="{9A8E2EAA-0067-4189-AB09-0CB66607B45E}" name="CKTH"/>
    <tableColumn id="13" xr3:uid="{390C5CFE-3A6A-4638-9BBF-A4E808C34019}" name="Điểm cộng/trừ" dataDxfId="1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93C0C13-C0BF-41D2-B116-40DD21EF758A}" name="Table13" displayName="Table13" ref="A1:M31" totalsRowShown="0">
  <autoFilter ref="A1:M31" xr:uid="{87B4C68E-52B0-44CE-94D4-AC3C5E059EEF}"/>
  <tableColumns count="13">
    <tableColumn id="1" xr3:uid="{6E2116B6-8A6D-4061-8A21-74A7A7DC0A3F}" name="STT"/>
    <tableColumn id="2" xr3:uid="{6087A31C-093B-4F4E-B714-B12FB26CB1EB}" name="Tên lớp"/>
    <tableColumn id="14" xr3:uid="{CA55B5F2-E1FD-481E-AE5C-E2565281A450}" name="Mã định danh"/>
    <tableColumn id="3" xr3:uid="{7A4A34B7-E2DB-4FE4-91C8-4E2B52ABDE65}" name="MSHS"/>
    <tableColumn id="4" xr3:uid="{B5A5A35E-BF57-4756-93A5-E4D8D57AE3DD}" name="Email"/>
    <tableColumn id="5" xr3:uid="{BD257335-0296-4F83-9582-74FB6D54FFEE}" name="Họ và tên"/>
    <tableColumn id="6" xr3:uid="{149A88A9-EBA0-4DEF-ABEF-87BA920B076E}" name="Ngày sinh"/>
    <tableColumn id="7" xr3:uid="{412235EE-C3D7-41E5-8934-3084314078B0}" name="TX1" dataDxfId="13"/>
    <tableColumn id="8" xr3:uid="{B4ED72BD-9228-4E83-8EE4-091B112C2B0C}" name="TX2"/>
    <tableColumn id="9" xr3:uid="{727F5E71-DAB5-4D3F-9759-8BC266A4ED52}" name="GKTN" dataDxfId="12"/>
    <tableColumn id="11" xr3:uid="{333B9655-FE71-4ED7-82A0-F0641FE0FC1D}" name="CKTN" dataDxfId="11"/>
    <tableColumn id="12" xr3:uid="{12F75C8C-BA02-41AF-B140-AE5EF3BD99A4}" name="CKTH"/>
    <tableColumn id="13" xr3:uid="{C94634BB-4F5D-4330-99F0-51186DAB60DE}" name="Điểm cộng/trừ" dataDxfId="1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7B4C68E-52B0-44CE-94D4-AC3C5E059EEF}" name="Table1" displayName="Table1" ref="A1:M31" totalsRowShown="0">
  <autoFilter ref="A1:M31" xr:uid="{87B4C68E-52B0-44CE-94D4-AC3C5E059EEF}"/>
  <tableColumns count="13">
    <tableColumn id="1" xr3:uid="{AEF25B17-4DF2-4D0E-9AE0-20FBC325DD6E}" name="STT"/>
    <tableColumn id="2" xr3:uid="{6A81BFF8-ED78-497C-9FBA-9E62170F7033}" name="Tên lớp"/>
    <tableColumn id="14" xr3:uid="{5814C0D9-5FBA-4E09-888A-9B5D322FC7C3}" name="Mã định danh"/>
    <tableColumn id="3" xr3:uid="{7A5ECB8C-691A-46D4-84BB-9C820767C3DD}" name="MSHS"/>
    <tableColumn id="4" xr3:uid="{22F7231F-C7A0-447F-A36F-DF32328BE83E}" name="Email"/>
    <tableColumn id="5" xr3:uid="{CB4BA5A7-E295-4634-B8D5-79CED684DA84}" name="Họ và tên"/>
    <tableColumn id="6" xr3:uid="{9E09BF74-FA06-4E53-B295-9B096B431E71}" name="Ngày sinh"/>
    <tableColumn id="7" xr3:uid="{77131993-30B1-49AE-BCE9-38F5EDF29692}" name="TX1" dataDxfId="9"/>
    <tableColumn id="8" xr3:uid="{EA41B88E-A7D1-49D3-AAA3-D3FD83B5F818}" name="TX2"/>
    <tableColumn id="9" xr3:uid="{CA4BAF3B-3E9D-4F31-A984-1BBC57B1761E}" name="GKTN" dataDxfId="8"/>
    <tableColumn id="11" xr3:uid="{8E43F492-DA8D-4B36-992F-8FF2ED3BA73B}" name="CKTN" dataDxfId="7"/>
    <tableColumn id="12" xr3:uid="{F54748B3-D956-40BA-B6D0-AC2C18A939C2}" name="CKTH"/>
    <tableColumn id="13" xr3:uid="{E68010E6-7545-4825-8A30-E7739A1C4C4A}" name="Điểm cộng/trừ" dataDxfId="6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A3C666D-3C00-4905-B391-C83C5806B13E}" name="Table134" displayName="Table134" ref="A1:M31" totalsRowShown="0">
  <autoFilter ref="A1:M31" xr:uid="{87B4C68E-52B0-44CE-94D4-AC3C5E059EEF}"/>
  <tableColumns count="13">
    <tableColumn id="1" xr3:uid="{77EDE383-0924-4964-974B-4CBD42294757}" name="STT"/>
    <tableColumn id="2" xr3:uid="{1ED1936A-8E22-4C4E-ABF8-B2558213F9F1}" name="Tên lớp"/>
    <tableColumn id="14" xr3:uid="{2EE42409-3D0E-408F-92A5-24635CA413AD}" name="Mã định danh"/>
    <tableColumn id="3" xr3:uid="{C2E0EF6F-E6CD-4622-87B5-D18C4C15CA78}" name="MSHS"/>
    <tableColumn id="4" xr3:uid="{7BD37775-2BE4-42D5-836D-E721DAE8F028}" name="Email"/>
    <tableColumn id="5" xr3:uid="{31926365-1D24-4CFE-BA60-8DB775984C5D}" name="Họ và tên"/>
    <tableColumn id="6" xr3:uid="{977019B1-D09A-42A2-BB7E-87A52F4F5FC5}" name="Ngày sinh"/>
    <tableColumn id="7" xr3:uid="{83E63E51-16A0-4F7B-AD5B-954C67C5604E}" name="TX1" dataDxfId="5"/>
    <tableColumn id="8" xr3:uid="{E12E76F6-5CAD-4D93-B39B-BEF9F29047D1}" name="TX2"/>
    <tableColumn id="9" xr3:uid="{B9EA5CAD-C0AD-4602-B18F-77FA277F8DB7}" name="GKTN"/>
    <tableColumn id="11" xr3:uid="{8B0F90C0-A200-4C39-B887-17FF3D23FB8C}" name="CKTN"/>
    <tableColumn id="12" xr3:uid="{C3D25CAA-BDF5-4FE0-82DF-D8A37B9D0D87}" name="CKTH"/>
    <tableColumn id="13" xr3:uid="{1F6CE7C5-9460-4818-BE04-86FDB1B4A51B}" name="Điểm cộng/trừ" dataDxfId="4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82842B2-CFEE-4177-8C90-BCA51289E516}" name="Table1345" displayName="Table1345" ref="A1:M31" totalsRowShown="0">
  <autoFilter ref="A1:M31" xr:uid="{87B4C68E-52B0-44CE-94D4-AC3C5E059EEF}"/>
  <tableColumns count="13">
    <tableColumn id="1" xr3:uid="{906712F0-7C83-4780-B789-61AD25B59BAC}" name="STT"/>
    <tableColumn id="2" xr3:uid="{AD518F16-22C3-491A-9625-22487E46C714}" name="Tên lớp"/>
    <tableColumn id="14" xr3:uid="{7B884FA7-03C8-4866-BA9C-7F795FF87E7A}" name="Mã định danh"/>
    <tableColumn id="3" xr3:uid="{41E885D5-A632-43B9-A6ED-1E90C6AC2F84}" name="MSHS"/>
    <tableColumn id="4" xr3:uid="{C834A720-51FC-4C56-8876-916F6364A386}" name="Email"/>
    <tableColumn id="5" xr3:uid="{6FB130F4-A05E-4FDC-B2DA-22E94D5D3B81}" name="Họ và tên"/>
    <tableColumn id="6" xr3:uid="{60B78D02-D560-431E-8870-83F119B73156}" name="Ngày sinh"/>
    <tableColumn id="7" xr3:uid="{C3793044-9978-49A7-9D3A-45059A554ABC}" name="TX1" dataDxfId="3"/>
    <tableColumn id="8" xr3:uid="{E363DFF6-1A16-48AE-B1F0-2A19DD4C324E}" name="TX2"/>
    <tableColumn id="9" xr3:uid="{F678A0CD-2F7B-4590-82F6-896BD825BC54}" name="GKTN"/>
    <tableColumn id="11" xr3:uid="{FBC07A04-980A-40A1-B291-5F4C36722B6A}" name="CKTN"/>
    <tableColumn id="12" xr3:uid="{1E86EEE0-3C4E-441A-AF40-2F0A70054A22}" name="CKTH"/>
    <tableColumn id="13" xr3:uid="{7F492110-3F4E-4B88-9286-10B4D422DBF3}" name="Điểm cộng/trừ" dataDxfId="2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853F517-198C-434C-89D9-1F4027A2BF6C}" name="Table13456" displayName="Table13456" ref="A1:O31" totalsRowShown="0">
  <autoFilter ref="A1:O31" xr:uid="{87B4C68E-52B0-44CE-94D4-AC3C5E059EEF}"/>
  <tableColumns count="15">
    <tableColumn id="1" xr3:uid="{FC843D9B-BB86-419E-9700-1C92F706BC83}" name="STT"/>
    <tableColumn id="2" xr3:uid="{9C544FF2-C870-49A1-B6CA-2EBF6EDE934C}" name="Tên lớp"/>
    <tableColumn id="15" xr3:uid="{3C8C74FA-23DD-49D1-8C57-559308A35F3C}" name="Mã định danh"/>
    <tableColumn id="3" xr3:uid="{DF87C69E-E838-4F85-B03C-5E4BE96FD101}" name="MSHS"/>
    <tableColumn id="4" xr3:uid="{06BB6758-BB6D-4290-B77F-4E8EEA74F35D}" name="Email"/>
    <tableColumn id="5" xr3:uid="{33C0ABE3-FAC4-4D07-BF8A-BBC8667CC653}" name="Họ và tên"/>
    <tableColumn id="6" xr3:uid="{860FF401-193A-4CEF-A318-711475F896D5}" name="Ngày sinh"/>
    <tableColumn id="7" xr3:uid="{9DB0F73A-AF64-4B12-A1B2-292C31ABAD85}" name="TX1" dataDxfId="1"/>
    <tableColumn id="8" xr3:uid="{B2D8B9D4-A9A6-4707-9FE9-196AB7FAD70B}" name="TX2"/>
    <tableColumn id="14" xr3:uid="{CC905B07-3171-4DB1-8DE4-D4812DC9F8D9}" name="TX3"/>
    <tableColumn id="9" xr3:uid="{6B9636A9-2F54-4EDD-AA38-33B1287A1DFA}" name="GKTN"/>
    <tableColumn id="10" xr3:uid="{25C5BFA4-7959-4B67-AAFA-4499322AA35A}" name="GKTH"/>
    <tableColumn id="11" xr3:uid="{4794BE50-1508-4F5D-BDA5-0D795E511169}" name="CKTN"/>
    <tableColumn id="12" xr3:uid="{20B8C87E-B4C2-46B2-A1EE-45C5B13A49F5}" name="CKTH"/>
    <tableColumn id="13" xr3:uid="{0E49A624-F415-4FEC-A84F-1976E399D991}" name="Điểm cộng/trừ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2F6F0-A60C-46AE-A379-677AAC706EA5}">
  <dimension ref="A1:P30"/>
  <sheetViews>
    <sheetView zoomScale="130" zoomScaleNormal="130" workbookViewId="0">
      <selection activeCell="K14" sqref="K14"/>
    </sheetView>
  </sheetViews>
  <sheetFormatPr defaultRowHeight="15"/>
  <cols>
    <col min="2" max="2" width="9.7109375" customWidth="1"/>
    <col min="3" max="3" width="17" customWidth="1"/>
    <col min="6" max="6" width="22.7109375" customWidth="1"/>
    <col min="7" max="7" width="11.85546875" customWidth="1"/>
    <col min="8" max="8" width="9.140625" style="5"/>
    <col min="15" max="15" width="16.140625" style="9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5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9" t="s">
        <v>14</v>
      </c>
    </row>
    <row r="2" spans="1:16">
      <c r="A2" t="s">
        <v>15</v>
      </c>
      <c r="B2" t="s">
        <v>16</v>
      </c>
      <c r="C2" t="s">
        <v>17</v>
      </c>
      <c r="D2">
        <v>1906029</v>
      </c>
      <c r="E2" t="s">
        <v>18</v>
      </c>
      <c r="F2" t="s">
        <v>19</v>
      </c>
      <c r="G2" t="s">
        <v>20</v>
      </c>
      <c r="H2" s="5">
        <v>9.3000000000000007</v>
      </c>
      <c r="I2">
        <v>10</v>
      </c>
      <c r="J2">
        <v>10</v>
      </c>
      <c r="K2">
        <v>6</v>
      </c>
      <c r="L2">
        <v>4</v>
      </c>
      <c r="M2">
        <v>6</v>
      </c>
      <c r="O2" s="9">
        <f ca="1">Table134567[[#This Row],[Điểm cộng/trừ]]+1</f>
        <v>1.25</v>
      </c>
    </row>
    <row r="3" spans="1:16">
      <c r="A3" t="s">
        <v>21</v>
      </c>
      <c r="B3" t="s">
        <v>16</v>
      </c>
      <c r="C3" t="s">
        <v>22</v>
      </c>
      <c r="D3">
        <v>1906037</v>
      </c>
      <c r="E3" t="s">
        <v>23</v>
      </c>
      <c r="F3" t="s">
        <v>24</v>
      </c>
      <c r="G3" t="s">
        <v>25</v>
      </c>
      <c r="H3" s="5">
        <v>10</v>
      </c>
      <c r="I3">
        <v>10</v>
      </c>
      <c r="J3">
        <v>10</v>
      </c>
      <c r="K3">
        <v>6</v>
      </c>
      <c r="L3">
        <v>4</v>
      </c>
      <c r="M3">
        <v>6</v>
      </c>
      <c r="O3" s="9">
        <v>0</v>
      </c>
    </row>
    <row r="4" spans="1:16">
      <c r="A4" t="s">
        <v>26</v>
      </c>
      <c r="B4" t="s">
        <v>16</v>
      </c>
      <c r="C4" t="s">
        <v>27</v>
      </c>
      <c r="D4">
        <v>1906042</v>
      </c>
      <c r="E4" t="s">
        <v>28</v>
      </c>
      <c r="F4" t="s">
        <v>29</v>
      </c>
      <c r="G4" t="s">
        <v>30</v>
      </c>
      <c r="H4" s="5">
        <v>10</v>
      </c>
      <c r="I4">
        <v>10</v>
      </c>
      <c r="J4">
        <v>10</v>
      </c>
      <c r="K4">
        <v>6</v>
      </c>
      <c r="L4">
        <v>4</v>
      </c>
      <c r="M4">
        <v>6</v>
      </c>
      <c r="O4" s="9">
        <f ca="1">Table134567[[#This Row],[Điểm cộng/trừ]]+1</f>
        <v>1.25</v>
      </c>
    </row>
    <row r="5" spans="1:16">
      <c r="A5" t="s">
        <v>31</v>
      </c>
      <c r="B5" t="s">
        <v>16</v>
      </c>
      <c r="C5" t="s">
        <v>32</v>
      </c>
      <c r="D5">
        <v>1906045</v>
      </c>
      <c r="E5" t="s">
        <v>33</v>
      </c>
      <c r="F5" t="s">
        <v>34</v>
      </c>
      <c r="G5" t="s">
        <v>35</v>
      </c>
      <c r="H5" s="5">
        <v>10</v>
      </c>
      <c r="I5">
        <v>10</v>
      </c>
      <c r="J5">
        <v>10</v>
      </c>
      <c r="K5">
        <v>6</v>
      </c>
      <c r="L5">
        <v>4</v>
      </c>
      <c r="M5" s="6">
        <v>6</v>
      </c>
      <c r="O5" s="9">
        <v>0.5</v>
      </c>
    </row>
    <row r="6" spans="1:16">
      <c r="A6" t="s">
        <v>36</v>
      </c>
      <c r="B6" t="s">
        <v>16</v>
      </c>
      <c r="C6" t="s">
        <v>37</v>
      </c>
      <c r="D6">
        <v>1906054</v>
      </c>
      <c r="E6" t="s">
        <v>38</v>
      </c>
      <c r="F6" t="s">
        <v>39</v>
      </c>
      <c r="G6" t="s">
        <v>40</v>
      </c>
      <c r="H6" s="5">
        <v>10</v>
      </c>
      <c r="I6">
        <v>10</v>
      </c>
      <c r="J6">
        <v>10</v>
      </c>
      <c r="K6">
        <v>6</v>
      </c>
      <c r="L6">
        <v>4</v>
      </c>
      <c r="M6">
        <v>6</v>
      </c>
      <c r="O6" s="9">
        <f ca="1">Table134567[[#This Row],[Điểm cộng/trừ]]+1</f>
        <v>1.5</v>
      </c>
    </row>
    <row r="7" spans="1:16">
      <c r="A7" t="s">
        <v>41</v>
      </c>
      <c r="B7" t="s">
        <v>16</v>
      </c>
      <c r="C7" t="s">
        <v>42</v>
      </c>
      <c r="D7">
        <v>1906056</v>
      </c>
      <c r="E7" t="s">
        <v>43</v>
      </c>
      <c r="F7" t="s">
        <v>44</v>
      </c>
      <c r="G7" t="s">
        <v>45</v>
      </c>
      <c r="H7" s="5">
        <v>10</v>
      </c>
      <c r="I7">
        <v>10</v>
      </c>
      <c r="J7">
        <v>10</v>
      </c>
      <c r="K7">
        <v>6</v>
      </c>
      <c r="L7">
        <v>4</v>
      </c>
      <c r="M7" s="6">
        <v>6</v>
      </c>
      <c r="O7" s="9">
        <v>0.75</v>
      </c>
    </row>
    <row r="8" spans="1:16">
      <c r="A8" t="s">
        <v>46</v>
      </c>
      <c r="B8" t="s">
        <v>16</v>
      </c>
      <c r="C8" t="s">
        <v>47</v>
      </c>
      <c r="D8">
        <v>1906064</v>
      </c>
      <c r="E8" t="s">
        <v>48</v>
      </c>
      <c r="F8" t="s">
        <v>49</v>
      </c>
      <c r="G8" t="s">
        <v>50</v>
      </c>
      <c r="H8" s="5">
        <v>10</v>
      </c>
      <c r="I8">
        <v>10</v>
      </c>
      <c r="J8">
        <v>10</v>
      </c>
      <c r="K8">
        <v>6</v>
      </c>
      <c r="L8">
        <v>4</v>
      </c>
      <c r="M8" s="6">
        <v>6</v>
      </c>
      <c r="O8" s="9">
        <v>0.75</v>
      </c>
    </row>
    <row r="9" spans="1:16">
      <c r="A9" t="s">
        <v>51</v>
      </c>
      <c r="B9" t="s">
        <v>16</v>
      </c>
      <c r="C9" t="s">
        <v>52</v>
      </c>
      <c r="D9">
        <v>1906085</v>
      </c>
      <c r="E9" t="s">
        <v>53</v>
      </c>
      <c r="F9" t="s">
        <v>54</v>
      </c>
      <c r="G9" t="s">
        <v>55</v>
      </c>
      <c r="H9" s="5">
        <v>10</v>
      </c>
      <c r="I9">
        <v>10</v>
      </c>
      <c r="J9">
        <v>10</v>
      </c>
      <c r="K9">
        <v>6</v>
      </c>
      <c r="L9">
        <v>4</v>
      </c>
      <c r="M9" s="6">
        <v>6</v>
      </c>
      <c r="O9" s="9">
        <v>0.5</v>
      </c>
    </row>
    <row r="10" spans="1:16">
      <c r="A10" t="s">
        <v>56</v>
      </c>
      <c r="B10" t="s">
        <v>16</v>
      </c>
      <c r="C10" t="s">
        <v>57</v>
      </c>
      <c r="D10">
        <v>1906091</v>
      </c>
      <c r="E10" t="s">
        <v>58</v>
      </c>
      <c r="F10" t="s">
        <v>59</v>
      </c>
      <c r="G10" t="s">
        <v>60</v>
      </c>
      <c r="H10" s="5">
        <v>10</v>
      </c>
      <c r="I10">
        <v>10</v>
      </c>
      <c r="J10">
        <v>10</v>
      </c>
      <c r="K10">
        <v>6</v>
      </c>
      <c r="L10">
        <v>4</v>
      </c>
      <c r="M10" s="6">
        <v>6</v>
      </c>
      <c r="O10" s="9">
        <v>0.25</v>
      </c>
    </row>
    <row r="11" spans="1:16">
      <c r="A11" t="s">
        <v>61</v>
      </c>
      <c r="B11" t="s">
        <v>16</v>
      </c>
      <c r="C11" t="s">
        <v>62</v>
      </c>
      <c r="D11">
        <v>1906104</v>
      </c>
      <c r="E11" t="s">
        <v>63</v>
      </c>
      <c r="F11" t="s">
        <v>64</v>
      </c>
      <c r="G11" t="s">
        <v>65</v>
      </c>
      <c r="H11" s="5">
        <v>10</v>
      </c>
      <c r="I11">
        <v>10</v>
      </c>
      <c r="J11">
        <v>10</v>
      </c>
      <c r="K11">
        <v>6</v>
      </c>
      <c r="L11">
        <v>4</v>
      </c>
      <c r="M11" s="6">
        <v>6</v>
      </c>
      <c r="O11" s="9">
        <v>0</v>
      </c>
    </row>
    <row r="12" spans="1:16">
      <c r="A12" t="s">
        <v>66</v>
      </c>
      <c r="B12" t="s">
        <v>16</v>
      </c>
      <c r="C12" t="s">
        <v>67</v>
      </c>
      <c r="D12">
        <v>1906106</v>
      </c>
      <c r="E12" t="s">
        <v>68</v>
      </c>
      <c r="F12" t="s">
        <v>69</v>
      </c>
      <c r="G12" t="s">
        <v>70</v>
      </c>
      <c r="H12" s="5">
        <v>10</v>
      </c>
      <c r="I12">
        <v>10</v>
      </c>
      <c r="J12">
        <v>10</v>
      </c>
      <c r="K12">
        <v>6</v>
      </c>
      <c r="L12">
        <v>4</v>
      </c>
      <c r="M12">
        <v>6</v>
      </c>
      <c r="O12" s="9">
        <v>0.75</v>
      </c>
    </row>
    <row r="13" spans="1:16">
      <c r="A13" t="s">
        <v>71</v>
      </c>
      <c r="B13" t="s">
        <v>16</v>
      </c>
      <c r="C13" t="s">
        <v>72</v>
      </c>
      <c r="D13">
        <v>1906111</v>
      </c>
      <c r="E13" t="s">
        <v>73</v>
      </c>
      <c r="F13" t="s">
        <v>74</v>
      </c>
      <c r="G13" t="s">
        <v>75</v>
      </c>
      <c r="H13" s="5">
        <v>10</v>
      </c>
      <c r="I13">
        <v>10</v>
      </c>
      <c r="J13">
        <v>10</v>
      </c>
      <c r="K13">
        <v>6</v>
      </c>
      <c r="L13">
        <v>4</v>
      </c>
      <c r="M13">
        <v>6</v>
      </c>
      <c r="O13" s="9">
        <v>0.5</v>
      </c>
    </row>
    <row r="14" spans="1:16">
      <c r="A14" t="s">
        <v>76</v>
      </c>
      <c r="B14" t="s">
        <v>16</v>
      </c>
      <c r="C14" t="s">
        <v>77</v>
      </c>
      <c r="D14">
        <v>1906123</v>
      </c>
      <c r="E14" t="s">
        <v>78</v>
      </c>
      <c r="F14" t="s">
        <v>79</v>
      </c>
      <c r="G14" t="s">
        <v>80</v>
      </c>
      <c r="H14" s="5">
        <v>9.5</v>
      </c>
      <c r="I14">
        <v>8.5</v>
      </c>
      <c r="J14">
        <v>9.5</v>
      </c>
      <c r="K14">
        <v>5.0999999999999996</v>
      </c>
      <c r="L14">
        <v>4</v>
      </c>
      <c r="M14" s="6">
        <v>4.95</v>
      </c>
      <c r="O14" s="9">
        <v>0</v>
      </c>
    </row>
    <row r="15" spans="1:16">
      <c r="A15" t="s">
        <v>81</v>
      </c>
      <c r="B15" t="s">
        <v>16</v>
      </c>
      <c r="C15" t="s">
        <v>82</v>
      </c>
      <c r="D15">
        <v>1911004</v>
      </c>
      <c r="E15" t="s">
        <v>83</v>
      </c>
      <c r="F15" t="s">
        <v>84</v>
      </c>
      <c r="G15" t="s">
        <v>85</v>
      </c>
      <c r="H15" s="5">
        <v>10</v>
      </c>
      <c r="I15">
        <v>9.5</v>
      </c>
      <c r="J15">
        <v>10</v>
      </c>
      <c r="K15">
        <v>5.7</v>
      </c>
      <c r="L15">
        <v>4</v>
      </c>
      <c r="M15">
        <v>5.7</v>
      </c>
      <c r="O15" s="9">
        <v>0</v>
      </c>
    </row>
    <row r="16" spans="1:16">
      <c r="A16" t="s">
        <v>86</v>
      </c>
      <c r="B16" t="s">
        <v>16</v>
      </c>
      <c r="C16" t="s">
        <v>87</v>
      </c>
      <c r="D16">
        <v>1908001</v>
      </c>
      <c r="E16" t="s">
        <v>88</v>
      </c>
      <c r="F16" t="s">
        <v>89</v>
      </c>
      <c r="G16" t="s">
        <v>90</v>
      </c>
      <c r="H16" s="5">
        <v>10</v>
      </c>
      <c r="I16">
        <v>10</v>
      </c>
      <c r="J16">
        <v>10</v>
      </c>
      <c r="K16">
        <v>6</v>
      </c>
      <c r="L16">
        <v>4</v>
      </c>
      <c r="M16">
        <v>6</v>
      </c>
      <c r="O16" s="9">
        <v>1.5</v>
      </c>
      <c r="P16">
        <v>10</v>
      </c>
    </row>
    <row r="17" spans="1:16" s="3" customFormat="1">
      <c r="A17" s="3" t="s">
        <v>91</v>
      </c>
      <c r="B17" s="3" t="s">
        <v>16</v>
      </c>
      <c r="C17" s="3" t="s">
        <v>92</v>
      </c>
      <c r="D17" s="3">
        <v>1906139</v>
      </c>
      <c r="E17" s="3" t="s">
        <v>93</v>
      </c>
      <c r="F17" s="3" t="s">
        <v>94</v>
      </c>
      <c r="G17" s="3" t="s">
        <v>95</v>
      </c>
      <c r="H17" s="5">
        <v>9</v>
      </c>
      <c r="I17" s="3">
        <v>10</v>
      </c>
      <c r="J17" s="3">
        <v>10</v>
      </c>
      <c r="K17" s="3">
        <v>5.7</v>
      </c>
      <c r="L17" s="3">
        <v>4</v>
      </c>
      <c r="M17" s="3">
        <v>5.0999999999999996</v>
      </c>
      <c r="O17" s="9">
        <v>0</v>
      </c>
    </row>
    <row r="18" spans="1:16">
      <c r="A18" t="s">
        <v>96</v>
      </c>
      <c r="B18" t="s">
        <v>16</v>
      </c>
      <c r="C18" t="s">
        <v>97</v>
      </c>
      <c r="D18">
        <v>1906141</v>
      </c>
      <c r="E18" t="s">
        <v>98</v>
      </c>
      <c r="F18" t="s">
        <v>99</v>
      </c>
      <c r="G18" t="s">
        <v>70</v>
      </c>
      <c r="H18" s="5">
        <v>10</v>
      </c>
      <c r="I18">
        <v>10</v>
      </c>
      <c r="J18">
        <v>10</v>
      </c>
      <c r="K18">
        <v>6</v>
      </c>
      <c r="L18">
        <v>4</v>
      </c>
      <c r="M18">
        <v>6</v>
      </c>
      <c r="O18" s="9">
        <v>0.75</v>
      </c>
    </row>
    <row r="19" spans="1:16">
      <c r="A19" t="s">
        <v>100</v>
      </c>
      <c r="B19" t="s">
        <v>16</v>
      </c>
      <c r="C19" t="s">
        <v>101</v>
      </c>
      <c r="D19">
        <v>1906142</v>
      </c>
      <c r="E19" t="s">
        <v>102</v>
      </c>
      <c r="F19" t="s">
        <v>103</v>
      </c>
      <c r="G19" t="s">
        <v>104</v>
      </c>
      <c r="H19" s="5">
        <v>9.8000000000000007</v>
      </c>
      <c r="I19">
        <v>10</v>
      </c>
      <c r="J19">
        <v>10</v>
      </c>
      <c r="K19">
        <v>6</v>
      </c>
      <c r="L19">
        <v>4</v>
      </c>
      <c r="M19">
        <v>6</v>
      </c>
      <c r="O19" s="9">
        <f ca="1">Table134567[[#This Row],[Điểm cộng/trừ]]+1</f>
        <v>1.25</v>
      </c>
    </row>
    <row r="20" spans="1:16">
      <c r="A20" t="s">
        <v>105</v>
      </c>
      <c r="B20" t="s">
        <v>16</v>
      </c>
      <c r="C20" t="s">
        <v>106</v>
      </c>
      <c r="D20">
        <v>1906153</v>
      </c>
      <c r="E20" t="s">
        <v>107</v>
      </c>
      <c r="F20" t="s">
        <v>108</v>
      </c>
      <c r="G20" t="s">
        <v>109</v>
      </c>
      <c r="H20" s="5">
        <v>10</v>
      </c>
      <c r="I20">
        <v>10</v>
      </c>
      <c r="J20">
        <v>8.8000000000000007</v>
      </c>
      <c r="K20">
        <v>5.4</v>
      </c>
      <c r="L20">
        <v>4</v>
      </c>
      <c r="M20" s="6">
        <v>4.95</v>
      </c>
      <c r="O20" s="9">
        <v>0</v>
      </c>
    </row>
    <row r="21" spans="1:16">
      <c r="A21" t="s">
        <v>110</v>
      </c>
      <c r="B21" t="s">
        <v>16</v>
      </c>
      <c r="C21" t="s">
        <v>111</v>
      </c>
      <c r="D21">
        <v>1906160</v>
      </c>
      <c r="E21" t="s">
        <v>112</v>
      </c>
      <c r="F21" t="s">
        <v>113</v>
      </c>
      <c r="G21" t="s">
        <v>114</v>
      </c>
      <c r="H21" s="5">
        <v>10</v>
      </c>
      <c r="I21">
        <v>10</v>
      </c>
      <c r="J21">
        <v>10</v>
      </c>
      <c r="K21">
        <v>6</v>
      </c>
      <c r="L21">
        <v>4</v>
      </c>
      <c r="M21">
        <v>6</v>
      </c>
      <c r="O21" s="9">
        <v>1</v>
      </c>
      <c r="P21">
        <v>10</v>
      </c>
    </row>
    <row r="22" spans="1:16">
      <c r="A22" t="s">
        <v>115</v>
      </c>
      <c r="B22" t="s">
        <v>16</v>
      </c>
      <c r="C22" t="s">
        <v>116</v>
      </c>
      <c r="D22">
        <v>1906173</v>
      </c>
      <c r="E22" t="s">
        <v>117</v>
      </c>
      <c r="F22" t="s">
        <v>118</v>
      </c>
      <c r="G22" t="s">
        <v>119</v>
      </c>
      <c r="H22" s="5">
        <v>10</v>
      </c>
      <c r="I22">
        <v>10</v>
      </c>
      <c r="J22">
        <v>10</v>
      </c>
      <c r="K22">
        <v>6</v>
      </c>
      <c r="L22">
        <v>4</v>
      </c>
      <c r="M22" s="6">
        <v>6</v>
      </c>
      <c r="O22" s="9">
        <v>1</v>
      </c>
    </row>
    <row r="23" spans="1:16">
      <c r="A23" t="s">
        <v>120</v>
      </c>
      <c r="B23" t="s">
        <v>16</v>
      </c>
      <c r="C23" t="s">
        <v>121</v>
      </c>
      <c r="D23">
        <v>1906182</v>
      </c>
      <c r="E23" t="s">
        <v>122</v>
      </c>
      <c r="F23" t="s">
        <v>123</v>
      </c>
      <c r="G23" t="s">
        <v>124</v>
      </c>
      <c r="H23" s="5">
        <v>8</v>
      </c>
      <c r="I23">
        <v>10</v>
      </c>
      <c r="J23">
        <v>10</v>
      </c>
      <c r="K23">
        <v>5.7</v>
      </c>
      <c r="L23">
        <v>4</v>
      </c>
      <c r="M23">
        <v>5.4</v>
      </c>
      <c r="O23" s="9">
        <v>0</v>
      </c>
    </row>
    <row r="24" spans="1:16">
      <c r="A24" t="s">
        <v>125</v>
      </c>
      <c r="B24" t="s">
        <v>16</v>
      </c>
      <c r="C24" t="s">
        <v>126</v>
      </c>
      <c r="D24">
        <v>1906197</v>
      </c>
      <c r="E24" t="s">
        <v>127</v>
      </c>
      <c r="F24" t="s">
        <v>128</v>
      </c>
      <c r="G24" t="s">
        <v>129</v>
      </c>
      <c r="H24" s="5">
        <v>10</v>
      </c>
      <c r="I24">
        <v>10</v>
      </c>
      <c r="J24">
        <v>10</v>
      </c>
      <c r="K24">
        <v>6</v>
      </c>
      <c r="L24">
        <v>4</v>
      </c>
      <c r="M24" s="6">
        <v>6</v>
      </c>
      <c r="O24" s="9">
        <v>0.75</v>
      </c>
    </row>
    <row r="25" spans="1:16">
      <c r="A25" t="s">
        <v>130</v>
      </c>
      <c r="B25" t="s">
        <v>16</v>
      </c>
      <c r="C25" t="s">
        <v>131</v>
      </c>
      <c r="D25">
        <v>1910010</v>
      </c>
      <c r="E25" t="s">
        <v>132</v>
      </c>
      <c r="F25" t="s">
        <v>133</v>
      </c>
      <c r="G25" t="s">
        <v>20</v>
      </c>
      <c r="H25" s="5">
        <v>10</v>
      </c>
      <c r="I25">
        <v>10</v>
      </c>
      <c r="J25">
        <v>10</v>
      </c>
      <c r="K25">
        <v>6</v>
      </c>
      <c r="L25">
        <v>4</v>
      </c>
      <c r="M25">
        <v>6</v>
      </c>
      <c r="O25" s="9">
        <f ca="1">Table134567[[#This Row],[Điểm cộng/trừ]]+1</f>
        <v>1.25</v>
      </c>
      <c r="P25">
        <v>9.3000000000000007</v>
      </c>
    </row>
    <row r="26" spans="1:16">
      <c r="A26" t="s">
        <v>134</v>
      </c>
      <c r="B26" t="s">
        <v>16</v>
      </c>
      <c r="C26" t="s">
        <v>135</v>
      </c>
      <c r="D26">
        <v>1909014</v>
      </c>
      <c r="E26" t="s">
        <v>136</v>
      </c>
      <c r="F26" t="s">
        <v>137</v>
      </c>
      <c r="G26" t="s">
        <v>119</v>
      </c>
      <c r="H26" s="5">
        <v>10</v>
      </c>
      <c r="I26">
        <v>10</v>
      </c>
      <c r="J26">
        <v>10</v>
      </c>
      <c r="K26">
        <v>6</v>
      </c>
      <c r="L26">
        <v>4</v>
      </c>
      <c r="M26" s="6">
        <v>6</v>
      </c>
      <c r="O26" s="9">
        <v>0</v>
      </c>
    </row>
    <row r="27" spans="1:16">
      <c r="A27" t="s">
        <v>138</v>
      </c>
      <c r="B27" t="s">
        <v>16</v>
      </c>
      <c r="C27" t="s">
        <v>139</v>
      </c>
      <c r="D27">
        <v>1907001</v>
      </c>
      <c r="E27" t="s">
        <v>140</v>
      </c>
      <c r="F27" t="s">
        <v>141</v>
      </c>
      <c r="G27" t="s">
        <v>142</v>
      </c>
      <c r="H27" s="5">
        <v>10</v>
      </c>
      <c r="I27">
        <v>10</v>
      </c>
      <c r="J27">
        <v>10</v>
      </c>
      <c r="K27">
        <v>6</v>
      </c>
      <c r="L27">
        <v>4</v>
      </c>
      <c r="M27">
        <v>6</v>
      </c>
      <c r="O27" s="9">
        <f ca="1">Table134567[[#This Row],[Điểm cộng/trừ]]+1</f>
        <v>1.75</v>
      </c>
    </row>
    <row r="28" spans="1:16">
      <c r="A28" t="s">
        <v>143</v>
      </c>
      <c r="B28" t="s">
        <v>16</v>
      </c>
      <c r="C28" t="s">
        <v>144</v>
      </c>
      <c r="D28">
        <v>1910019</v>
      </c>
      <c r="E28" t="s">
        <v>145</v>
      </c>
      <c r="F28" t="s">
        <v>146</v>
      </c>
      <c r="G28" t="s">
        <v>147</v>
      </c>
      <c r="H28" s="5">
        <v>10</v>
      </c>
      <c r="I28">
        <v>10</v>
      </c>
      <c r="J28">
        <v>10</v>
      </c>
      <c r="K28">
        <v>6</v>
      </c>
      <c r="L28">
        <v>4</v>
      </c>
      <c r="M28" s="6">
        <v>5.25</v>
      </c>
      <c r="O28" s="9">
        <v>0</v>
      </c>
    </row>
    <row r="29" spans="1:16">
      <c r="A29" t="s">
        <v>148</v>
      </c>
      <c r="B29" t="s">
        <v>16</v>
      </c>
      <c r="C29" t="s">
        <v>149</v>
      </c>
      <c r="D29">
        <v>1910008</v>
      </c>
      <c r="E29" t="s">
        <v>150</v>
      </c>
      <c r="F29" t="s">
        <v>151</v>
      </c>
      <c r="G29" t="s">
        <v>152</v>
      </c>
      <c r="H29" s="5">
        <v>10</v>
      </c>
      <c r="I29">
        <v>10</v>
      </c>
      <c r="J29">
        <v>10</v>
      </c>
      <c r="K29">
        <v>6</v>
      </c>
      <c r="L29">
        <v>4</v>
      </c>
      <c r="M29" s="6">
        <v>6</v>
      </c>
      <c r="O29" s="9">
        <v>0.75</v>
      </c>
    </row>
    <row r="30" spans="1:16">
      <c r="A30" t="s">
        <v>153</v>
      </c>
      <c r="B30" t="s">
        <v>16</v>
      </c>
      <c r="C30" t="s">
        <v>154</v>
      </c>
      <c r="D30">
        <v>1906243</v>
      </c>
      <c r="E30" t="s">
        <v>155</v>
      </c>
      <c r="F30" t="s">
        <v>156</v>
      </c>
      <c r="G30" t="s">
        <v>157</v>
      </c>
      <c r="H30" s="5">
        <v>10</v>
      </c>
      <c r="I30">
        <v>10</v>
      </c>
      <c r="J30">
        <v>10</v>
      </c>
      <c r="K30">
        <v>6</v>
      </c>
      <c r="L30">
        <v>4</v>
      </c>
      <c r="M30">
        <v>6</v>
      </c>
      <c r="O30" s="9">
        <f ca="1">Table134567[[#This Row],[Điểm cộng/trừ]]+1</f>
        <v>1.25</v>
      </c>
      <c r="P30">
        <v>10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7CE8A-3709-4982-8530-4B128DCF5EDD}">
  <dimension ref="A1:P30"/>
  <sheetViews>
    <sheetView topLeftCell="C1" zoomScale="145" zoomScaleNormal="145" workbookViewId="0">
      <selection activeCell="M10" sqref="M10"/>
    </sheetView>
  </sheetViews>
  <sheetFormatPr defaultRowHeight="15"/>
  <cols>
    <col min="2" max="2" width="9.7109375" customWidth="1"/>
    <col min="3" max="3" width="14.28515625" customWidth="1"/>
    <col min="6" max="6" width="22.7109375" customWidth="1"/>
    <col min="7" max="7" width="11.85546875" customWidth="1"/>
    <col min="8" max="8" width="9.140625" style="5"/>
    <col min="15" max="15" width="16.140625" style="9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5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9" t="s">
        <v>14</v>
      </c>
    </row>
    <row r="2" spans="1:16">
      <c r="A2" t="s">
        <v>15</v>
      </c>
      <c r="B2" t="s">
        <v>158</v>
      </c>
      <c r="C2" t="s">
        <v>159</v>
      </c>
      <c r="D2">
        <v>1906006</v>
      </c>
      <c r="E2" t="s">
        <v>160</v>
      </c>
      <c r="F2" t="s">
        <v>161</v>
      </c>
      <c r="G2" t="s">
        <v>162</v>
      </c>
      <c r="H2" s="5">
        <v>10</v>
      </c>
      <c r="I2">
        <v>10</v>
      </c>
      <c r="J2">
        <v>10</v>
      </c>
      <c r="K2">
        <v>6</v>
      </c>
      <c r="L2">
        <v>4</v>
      </c>
      <c r="M2">
        <v>6</v>
      </c>
      <c r="O2" s="9">
        <v>2</v>
      </c>
    </row>
    <row r="3" spans="1:16">
      <c r="A3" t="s">
        <v>21</v>
      </c>
      <c r="B3" t="s">
        <v>158</v>
      </c>
      <c r="C3" t="s">
        <v>163</v>
      </c>
      <c r="D3">
        <v>1910036</v>
      </c>
      <c r="E3" t="s">
        <v>164</v>
      </c>
      <c r="F3" t="s">
        <v>165</v>
      </c>
      <c r="G3" t="s">
        <v>166</v>
      </c>
      <c r="H3" s="5">
        <v>10</v>
      </c>
      <c r="I3">
        <v>10</v>
      </c>
      <c r="J3">
        <v>8</v>
      </c>
      <c r="K3">
        <v>5.0999999999999996</v>
      </c>
      <c r="L3">
        <v>4</v>
      </c>
      <c r="M3">
        <v>5.4</v>
      </c>
      <c r="O3" s="9">
        <v>0</v>
      </c>
    </row>
    <row r="4" spans="1:16">
      <c r="A4" t="s">
        <v>26</v>
      </c>
      <c r="B4" t="s">
        <v>158</v>
      </c>
      <c r="C4" t="s">
        <v>167</v>
      </c>
      <c r="D4">
        <v>1906012</v>
      </c>
      <c r="E4" t="s">
        <v>168</v>
      </c>
      <c r="F4" t="s">
        <v>169</v>
      </c>
      <c r="G4" t="s">
        <v>170</v>
      </c>
      <c r="H4" s="5">
        <v>10</v>
      </c>
      <c r="I4">
        <v>10</v>
      </c>
      <c r="J4">
        <v>10</v>
      </c>
      <c r="K4">
        <v>6</v>
      </c>
      <c r="L4">
        <v>4</v>
      </c>
      <c r="M4">
        <v>6</v>
      </c>
      <c r="O4" s="9">
        <v>2.25</v>
      </c>
    </row>
    <row r="5" spans="1:16">
      <c r="A5" t="s">
        <v>31</v>
      </c>
      <c r="B5" t="s">
        <v>158</v>
      </c>
      <c r="C5" t="s">
        <v>171</v>
      </c>
      <c r="D5">
        <v>1906013</v>
      </c>
      <c r="E5" t="s">
        <v>172</v>
      </c>
      <c r="F5" t="s">
        <v>173</v>
      </c>
      <c r="G5" t="s">
        <v>174</v>
      </c>
      <c r="H5" s="5">
        <v>10</v>
      </c>
      <c r="I5">
        <v>10</v>
      </c>
      <c r="J5">
        <v>10</v>
      </c>
      <c r="K5">
        <v>6</v>
      </c>
      <c r="L5">
        <v>4</v>
      </c>
      <c r="M5">
        <v>6</v>
      </c>
      <c r="O5" s="9">
        <v>1.75</v>
      </c>
    </row>
    <row r="6" spans="1:16">
      <c r="A6" t="s">
        <v>36</v>
      </c>
      <c r="B6" t="s">
        <v>158</v>
      </c>
      <c r="C6" t="s">
        <v>175</v>
      </c>
      <c r="D6">
        <v>1909010</v>
      </c>
      <c r="E6" t="s">
        <v>176</v>
      </c>
      <c r="F6" t="s">
        <v>177</v>
      </c>
      <c r="G6" t="s">
        <v>178</v>
      </c>
      <c r="H6" s="5">
        <v>8.5</v>
      </c>
      <c r="I6">
        <v>10</v>
      </c>
      <c r="J6">
        <v>10</v>
      </c>
      <c r="K6">
        <v>6</v>
      </c>
      <c r="L6">
        <v>4</v>
      </c>
      <c r="M6">
        <v>6</v>
      </c>
      <c r="O6" s="9">
        <v>0</v>
      </c>
    </row>
    <row r="7" spans="1:16">
      <c r="A7" t="s">
        <v>41</v>
      </c>
      <c r="B7" t="s">
        <v>158</v>
      </c>
      <c r="C7" t="s">
        <v>179</v>
      </c>
      <c r="D7">
        <v>1906023</v>
      </c>
      <c r="E7" t="s">
        <v>180</v>
      </c>
      <c r="F7" t="s">
        <v>181</v>
      </c>
      <c r="G7" t="s">
        <v>182</v>
      </c>
      <c r="H7" s="5">
        <v>10</v>
      </c>
      <c r="I7">
        <v>10</v>
      </c>
      <c r="J7">
        <v>10</v>
      </c>
      <c r="K7">
        <v>5.0999999999999996</v>
      </c>
      <c r="L7">
        <v>4</v>
      </c>
      <c r="M7">
        <v>5.7</v>
      </c>
      <c r="O7" s="9">
        <v>0</v>
      </c>
    </row>
    <row r="8" spans="1:16">
      <c r="A8" t="s">
        <v>46</v>
      </c>
      <c r="B8" t="s">
        <v>158</v>
      </c>
      <c r="C8" t="s">
        <v>183</v>
      </c>
      <c r="D8">
        <v>1908004</v>
      </c>
      <c r="E8" t="s">
        <v>184</v>
      </c>
      <c r="F8" t="s">
        <v>185</v>
      </c>
      <c r="G8" t="s">
        <v>186</v>
      </c>
      <c r="H8" s="5">
        <v>9.5</v>
      </c>
      <c r="I8">
        <v>9.8000000000000007</v>
      </c>
      <c r="J8" s="4">
        <v>0</v>
      </c>
      <c r="K8">
        <v>5.4</v>
      </c>
      <c r="L8">
        <v>4</v>
      </c>
      <c r="M8">
        <v>5</v>
      </c>
      <c r="O8" s="9">
        <v>0</v>
      </c>
    </row>
    <row r="9" spans="1:16">
      <c r="A9" t="s">
        <v>51</v>
      </c>
      <c r="B9" t="s">
        <v>158</v>
      </c>
      <c r="C9" t="s">
        <v>187</v>
      </c>
      <c r="D9">
        <v>1909017</v>
      </c>
      <c r="E9" t="s">
        <v>188</v>
      </c>
      <c r="F9" t="s">
        <v>189</v>
      </c>
      <c r="G9" t="s">
        <v>190</v>
      </c>
      <c r="H9" s="5">
        <v>10</v>
      </c>
      <c r="I9">
        <v>10</v>
      </c>
      <c r="J9">
        <v>10</v>
      </c>
      <c r="K9">
        <v>6</v>
      </c>
      <c r="L9">
        <v>4</v>
      </c>
      <c r="M9">
        <v>6</v>
      </c>
      <c r="O9" s="9">
        <v>0.5</v>
      </c>
    </row>
    <row r="10" spans="1:16" s="3" customFormat="1">
      <c r="A10" s="3" t="s">
        <v>56</v>
      </c>
      <c r="B10" s="3" t="s">
        <v>158</v>
      </c>
      <c r="C10" s="3" t="s">
        <v>191</v>
      </c>
      <c r="D10" s="3">
        <v>1910003</v>
      </c>
      <c r="E10" s="3" t="s">
        <v>192</v>
      </c>
      <c r="F10" s="3" t="s">
        <v>193</v>
      </c>
      <c r="G10" s="3" t="s">
        <v>194</v>
      </c>
      <c r="H10" s="5">
        <v>10</v>
      </c>
      <c r="I10" s="3">
        <v>8.3000000000000007</v>
      </c>
      <c r="J10" s="3">
        <v>10</v>
      </c>
      <c r="K10" s="3">
        <v>5.4</v>
      </c>
      <c r="L10" s="3">
        <v>4</v>
      </c>
      <c r="M10" s="4"/>
      <c r="O10" s="9">
        <v>0</v>
      </c>
    </row>
    <row r="11" spans="1:16">
      <c r="A11" t="s">
        <v>61</v>
      </c>
      <c r="B11" t="s">
        <v>158</v>
      </c>
      <c r="C11" t="s">
        <v>195</v>
      </c>
      <c r="D11">
        <v>1906065</v>
      </c>
      <c r="E11" t="s">
        <v>196</v>
      </c>
      <c r="F11" t="s">
        <v>197</v>
      </c>
      <c r="G11" t="s">
        <v>170</v>
      </c>
      <c r="H11" s="5">
        <v>10</v>
      </c>
      <c r="I11">
        <v>10</v>
      </c>
      <c r="J11">
        <v>10</v>
      </c>
      <c r="K11">
        <v>6</v>
      </c>
      <c r="L11">
        <v>4</v>
      </c>
      <c r="M11">
        <v>6</v>
      </c>
      <c r="O11" s="9">
        <v>0.75</v>
      </c>
    </row>
    <row r="12" spans="1:16">
      <c r="A12" t="s">
        <v>66</v>
      </c>
      <c r="B12" t="s">
        <v>158</v>
      </c>
      <c r="C12" t="s">
        <v>198</v>
      </c>
      <c r="D12">
        <v>1906070</v>
      </c>
      <c r="E12" t="s">
        <v>199</v>
      </c>
      <c r="F12" t="s">
        <v>200</v>
      </c>
      <c r="G12" t="s">
        <v>201</v>
      </c>
      <c r="H12" s="5">
        <v>10</v>
      </c>
      <c r="I12">
        <v>10</v>
      </c>
      <c r="J12">
        <v>10</v>
      </c>
      <c r="K12">
        <v>6</v>
      </c>
      <c r="L12">
        <v>4</v>
      </c>
      <c r="M12">
        <v>6</v>
      </c>
      <c r="O12" s="9">
        <v>1.25</v>
      </c>
    </row>
    <row r="13" spans="1:16">
      <c r="A13" t="s">
        <v>71</v>
      </c>
      <c r="B13" t="s">
        <v>158</v>
      </c>
      <c r="C13" t="s">
        <v>202</v>
      </c>
      <c r="D13">
        <v>1906078</v>
      </c>
      <c r="E13" t="s">
        <v>203</v>
      </c>
      <c r="F13" t="s">
        <v>204</v>
      </c>
      <c r="G13" t="s">
        <v>205</v>
      </c>
      <c r="H13" s="5">
        <v>10</v>
      </c>
      <c r="I13">
        <v>10</v>
      </c>
      <c r="J13">
        <v>10</v>
      </c>
      <c r="K13">
        <v>6</v>
      </c>
      <c r="L13">
        <v>4</v>
      </c>
      <c r="M13">
        <v>6</v>
      </c>
      <c r="O13" s="9">
        <v>1.25</v>
      </c>
      <c r="P13">
        <v>10</v>
      </c>
    </row>
    <row r="14" spans="1:16">
      <c r="A14" t="s">
        <v>76</v>
      </c>
      <c r="B14" t="s">
        <v>158</v>
      </c>
      <c r="C14" t="s">
        <v>206</v>
      </c>
      <c r="D14">
        <v>1906083</v>
      </c>
      <c r="E14" t="s">
        <v>207</v>
      </c>
      <c r="F14" t="s">
        <v>208</v>
      </c>
      <c r="G14" t="s">
        <v>209</v>
      </c>
      <c r="H14" s="5">
        <v>10</v>
      </c>
      <c r="I14">
        <v>10</v>
      </c>
      <c r="J14">
        <v>10</v>
      </c>
      <c r="K14">
        <v>6</v>
      </c>
      <c r="L14">
        <v>4</v>
      </c>
      <c r="M14">
        <v>6</v>
      </c>
      <c r="O14" s="9">
        <v>1.25</v>
      </c>
    </row>
    <row r="15" spans="1:16">
      <c r="A15" t="s">
        <v>81</v>
      </c>
      <c r="B15" t="s">
        <v>158</v>
      </c>
      <c r="C15" t="s">
        <v>210</v>
      </c>
      <c r="D15">
        <v>1906101</v>
      </c>
      <c r="E15" t="s">
        <v>211</v>
      </c>
      <c r="F15" t="s">
        <v>212</v>
      </c>
      <c r="G15" t="s">
        <v>213</v>
      </c>
      <c r="H15" s="5">
        <v>10</v>
      </c>
      <c r="I15">
        <v>10</v>
      </c>
      <c r="J15">
        <v>10</v>
      </c>
      <c r="K15">
        <v>6</v>
      </c>
      <c r="L15">
        <v>4</v>
      </c>
      <c r="M15">
        <v>6</v>
      </c>
      <c r="O15" s="9">
        <v>0.5</v>
      </c>
    </row>
    <row r="16" spans="1:16">
      <c r="A16" t="s">
        <v>86</v>
      </c>
      <c r="B16" t="s">
        <v>158</v>
      </c>
      <c r="C16" t="s">
        <v>214</v>
      </c>
      <c r="D16">
        <v>1906114</v>
      </c>
      <c r="E16" t="s">
        <v>215</v>
      </c>
      <c r="F16" t="s">
        <v>216</v>
      </c>
      <c r="G16" t="s">
        <v>217</v>
      </c>
      <c r="H16" s="5">
        <v>10</v>
      </c>
      <c r="I16">
        <v>10</v>
      </c>
      <c r="J16">
        <v>10</v>
      </c>
      <c r="K16">
        <v>6</v>
      </c>
      <c r="L16">
        <v>4</v>
      </c>
      <c r="M16">
        <v>6</v>
      </c>
      <c r="O16" s="9">
        <v>1.5</v>
      </c>
    </row>
    <row r="17" spans="1:16">
      <c r="A17" t="s">
        <v>91</v>
      </c>
      <c r="B17" t="s">
        <v>158</v>
      </c>
      <c r="C17" t="s">
        <v>218</v>
      </c>
      <c r="D17">
        <v>1906147</v>
      </c>
      <c r="E17" t="s">
        <v>219</v>
      </c>
      <c r="F17" t="s">
        <v>220</v>
      </c>
      <c r="G17" t="s">
        <v>221</v>
      </c>
      <c r="H17" s="5">
        <v>10</v>
      </c>
      <c r="I17">
        <v>10</v>
      </c>
      <c r="J17">
        <v>10</v>
      </c>
      <c r="K17">
        <v>6</v>
      </c>
      <c r="L17">
        <v>4</v>
      </c>
      <c r="M17">
        <v>6</v>
      </c>
      <c r="O17" s="9">
        <v>2.25</v>
      </c>
    </row>
    <row r="18" spans="1:16">
      <c r="A18" t="s">
        <v>96</v>
      </c>
      <c r="B18" t="s">
        <v>158</v>
      </c>
      <c r="C18" t="s">
        <v>222</v>
      </c>
      <c r="D18">
        <v>1906149</v>
      </c>
      <c r="E18" t="s">
        <v>223</v>
      </c>
      <c r="F18" t="s">
        <v>224</v>
      </c>
      <c r="G18" t="s">
        <v>225</v>
      </c>
      <c r="H18" s="5">
        <v>10</v>
      </c>
      <c r="I18">
        <v>10</v>
      </c>
      <c r="J18">
        <v>10</v>
      </c>
      <c r="K18">
        <v>6</v>
      </c>
      <c r="L18">
        <v>4</v>
      </c>
      <c r="M18">
        <v>6</v>
      </c>
      <c r="O18" s="9">
        <v>1.5</v>
      </c>
      <c r="P18">
        <v>9.5</v>
      </c>
    </row>
    <row r="19" spans="1:16">
      <c r="A19" t="s">
        <v>100</v>
      </c>
      <c r="B19" t="s">
        <v>158</v>
      </c>
      <c r="C19" t="s">
        <v>226</v>
      </c>
      <c r="D19">
        <v>1908003</v>
      </c>
      <c r="E19" t="s">
        <v>227</v>
      </c>
      <c r="F19" t="s">
        <v>228</v>
      </c>
      <c r="G19" t="s">
        <v>229</v>
      </c>
      <c r="H19" s="5">
        <v>10</v>
      </c>
      <c r="I19">
        <v>10</v>
      </c>
      <c r="J19">
        <v>10</v>
      </c>
      <c r="K19">
        <v>6</v>
      </c>
      <c r="L19">
        <v>4</v>
      </c>
      <c r="M19">
        <v>6</v>
      </c>
      <c r="O19" s="9">
        <v>1.25</v>
      </c>
    </row>
    <row r="20" spans="1:16">
      <c r="A20" t="s">
        <v>105</v>
      </c>
      <c r="B20" t="s">
        <v>158</v>
      </c>
      <c r="C20" t="s">
        <v>230</v>
      </c>
      <c r="D20">
        <v>1906170</v>
      </c>
      <c r="E20" t="s">
        <v>231</v>
      </c>
      <c r="F20" t="s">
        <v>232</v>
      </c>
      <c r="G20" t="s">
        <v>233</v>
      </c>
      <c r="H20" s="5">
        <v>10</v>
      </c>
      <c r="I20">
        <v>10</v>
      </c>
      <c r="J20">
        <v>10</v>
      </c>
      <c r="K20">
        <v>6</v>
      </c>
      <c r="L20">
        <v>4</v>
      </c>
      <c r="M20">
        <v>6</v>
      </c>
      <c r="O20" s="9">
        <v>2</v>
      </c>
    </row>
    <row r="21" spans="1:16">
      <c r="A21" t="s">
        <v>110</v>
      </c>
      <c r="B21" t="s">
        <v>158</v>
      </c>
      <c r="C21" t="s">
        <v>234</v>
      </c>
      <c r="D21">
        <v>1906183</v>
      </c>
      <c r="E21" t="s">
        <v>235</v>
      </c>
      <c r="F21" t="s">
        <v>236</v>
      </c>
      <c r="G21" t="s">
        <v>237</v>
      </c>
      <c r="H21" s="5">
        <v>9.5</v>
      </c>
      <c r="I21">
        <v>10</v>
      </c>
      <c r="J21">
        <v>10</v>
      </c>
      <c r="K21">
        <v>6</v>
      </c>
      <c r="L21">
        <v>4</v>
      </c>
      <c r="M21">
        <v>5.8</v>
      </c>
      <c r="O21" s="9">
        <v>0</v>
      </c>
    </row>
    <row r="22" spans="1:16">
      <c r="A22" t="s">
        <v>115</v>
      </c>
      <c r="B22" t="s">
        <v>158</v>
      </c>
      <c r="C22" t="s">
        <v>238</v>
      </c>
      <c r="D22">
        <v>1906191</v>
      </c>
      <c r="E22" t="s">
        <v>239</v>
      </c>
      <c r="F22" t="s">
        <v>240</v>
      </c>
      <c r="G22" t="s">
        <v>241</v>
      </c>
      <c r="H22" s="5">
        <v>10</v>
      </c>
      <c r="I22">
        <v>10</v>
      </c>
      <c r="J22">
        <v>10</v>
      </c>
      <c r="K22">
        <v>6</v>
      </c>
      <c r="L22">
        <v>4</v>
      </c>
      <c r="M22">
        <v>5.8</v>
      </c>
      <c r="O22" s="9">
        <v>0</v>
      </c>
    </row>
    <row r="23" spans="1:16">
      <c r="A23" t="s">
        <v>120</v>
      </c>
      <c r="B23" t="s">
        <v>158</v>
      </c>
      <c r="C23" t="s">
        <v>242</v>
      </c>
      <c r="D23">
        <v>1910017</v>
      </c>
      <c r="E23" t="s">
        <v>243</v>
      </c>
      <c r="F23" t="s">
        <v>244</v>
      </c>
      <c r="G23" t="s">
        <v>245</v>
      </c>
      <c r="H23" s="5">
        <v>10</v>
      </c>
      <c r="I23">
        <v>10</v>
      </c>
      <c r="J23">
        <v>8</v>
      </c>
      <c r="K23">
        <v>6</v>
      </c>
      <c r="L23">
        <v>4</v>
      </c>
      <c r="M23">
        <v>5.6</v>
      </c>
      <c r="O23" s="9">
        <v>0</v>
      </c>
    </row>
    <row r="24" spans="1:16">
      <c r="A24" t="s">
        <v>125</v>
      </c>
      <c r="B24" t="s">
        <v>158</v>
      </c>
      <c r="C24" t="s">
        <v>246</v>
      </c>
      <c r="D24">
        <v>1906207</v>
      </c>
      <c r="E24" t="s">
        <v>247</v>
      </c>
      <c r="F24" t="s">
        <v>248</v>
      </c>
      <c r="G24" t="s">
        <v>249</v>
      </c>
      <c r="H24" s="5">
        <v>9.5</v>
      </c>
      <c r="I24">
        <v>10</v>
      </c>
      <c r="J24">
        <v>10</v>
      </c>
      <c r="K24">
        <v>6</v>
      </c>
      <c r="L24">
        <v>4</v>
      </c>
      <c r="M24">
        <v>6</v>
      </c>
      <c r="O24" s="9">
        <v>0.5</v>
      </c>
    </row>
    <row r="25" spans="1:16">
      <c r="A25" t="s">
        <v>130</v>
      </c>
      <c r="B25" t="s">
        <v>158</v>
      </c>
      <c r="C25" t="s">
        <v>250</v>
      </c>
      <c r="D25">
        <v>1906214</v>
      </c>
      <c r="E25" t="s">
        <v>251</v>
      </c>
      <c r="F25" t="s">
        <v>252</v>
      </c>
      <c r="G25" t="s">
        <v>253</v>
      </c>
      <c r="H25" s="5">
        <v>10</v>
      </c>
      <c r="I25">
        <v>10</v>
      </c>
      <c r="J25">
        <v>10</v>
      </c>
      <c r="K25">
        <v>6</v>
      </c>
      <c r="L25">
        <v>4</v>
      </c>
      <c r="M25">
        <v>6</v>
      </c>
      <c r="O25" s="9">
        <v>0.75</v>
      </c>
    </row>
    <row r="26" spans="1:16">
      <c r="A26" t="s">
        <v>134</v>
      </c>
      <c r="B26" t="s">
        <v>158</v>
      </c>
      <c r="C26" t="s">
        <v>254</v>
      </c>
      <c r="D26">
        <v>1910016</v>
      </c>
      <c r="E26" t="s">
        <v>255</v>
      </c>
      <c r="F26" t="s">
        <v>256</v>
      </c>
      <c r="G26" t="s">
        <v>249</v>
      </c>
      <c r="H26" s="5">
        <v>10</v>
      </c>
      <c r="I26">
        <v>8</v>
      </c>
      <c r="J26">
        <v>10</v>
      </c>
      <c r="K26">
        <v>6</v>
      </c>
      <c r="L26">
        <v>4</v>
      </c>
      <c r="M26">
        <v>5.9</v>
      </c>
      <c r="O26" s="9">
        <v>0</v>
      </c>
    </row>
    <row r="27" spans="1:16">
      <c r="A27" t="s">
        <v>138</v>
      </c>
      <c r="B27" t="s">
        <v>158</v>
      </c>
      <c r="C27" t="s">
        <v>257</v>
      </c>
      <c r="D27">
        <v>1906231</v>
      </c>
      <c r="E27" t="s">
        <v>258</v>
      </c>
      <c r="F27" t="s">
        <v>259</v>
      </c>
      <c r="G27" t="s">
        <v>225</v>
      </c>
      <c r="H27" s="5">
        <v>10</v>
      </c>
      <c r="I27">
        <v>10</v>
      </c>
      <c r="J27">
        <v>10</v>
      </c>
      <c r="K27">
        <v>6</v>
      </c>
      <c r="L27">
        <v>4</v>
      </c>
      <c r="M27">
        <v>6</v>
      </c>
      <c r="O27" s="9">
        <v>2</v>
      </c>
    </row>
    <row r="28" spans="1:16">
      <c r="A28" t="s">
        <v>143</v>
      </c>
      <c r="B28" t="s">
        <v>158</v>
      </c>
      <c r="C28" t="s">
        <v>260</v>
      </c>
      <c r="D28">
        <v>1906232</v>
      </c>
      <c r="E28" t="s">
        <v>261</v>
      </c>
      <c r="F28" t="s">
        <v>262</v>
      </c>
      <c r="G28" t="s">
        <v>263</v>
      </c>
      <c r="H28" s="5">
        <v>10</v>
      </c>
      <c r="I28">
        <v>10</v>
      </c>
      <c r="J28">
        <v>10</v>
      </c>
      <c r="K28">
        <v>6</v>
      </c>
      <c r="L28">
        <v>4</v>
      </c>
      <c r="M28">
        <v>5.5</v>
      </c>
      <c r="O28" s="9">
        <v>0</v>
      </c>
    </row>
    <row r="29" spans="1:16">
      <c r="A29" t="s">
        <v>148</v>
      </c>
      <c r="B29" t="s">
        <v>158</v>
      </c>
      <c r="C29" t="s">
        <v>264</v>
      </c>
      <c r="D29">
        <v>1906240</v>
      </c>
      <c r="E29" t="s">
        <v>265</v>
      </c>
      <c r="F29" t="s">
        <v>266</v>
      </c>
      <c r="G29" t="s">
        <v>217</v>
      </c>
      <c r="H29" s="5">
        <v>10</v>
      </c>
      <c r="I29">
        <v>10</v>
      </c>
      <c r="J29">
        <v>10</v>
      </c>
      <c r="K29">
        <v>6</v>
      </c>
      <c r="L29">
        <v>4</v>
      </c>
      <c r="M29">
        <v>6</v>
      </c>
      <c r="O29" s="9">
        <v>1.25</v>
      </c>
    </row>
    <row r="30" spans="1:16">
      <c r="A30" t="s">
        <v>153</v>
      </c>
      <c r="B30" t="s">
        <v>158</v>
      </c>
      <c r="C30" t="s">
        <v>267</v>
      </c>
      <c r="D30">
        <v>1909001</v>
      </c>
      <c r="E30" t="s">
        <v>268</v>
      </c>
      <c r="F30" t="s">
        <v>269</v>
      </c>
      <c r="G30" t="s">
        <v>270</v>
      </c>
      <c r="H30" s="5">
        <v>10</v>
      </c>
      <c r="I30">
        <v>10</v>
      </c>
      <c r="J30">
        <v>10</v>
      </c>
      <c r="K30">
        <v>6</v>
      </c>
      <c r="L30">
        <v>4</v>
      </c>
      <c r="M30">
        <v>6</v>
      </c>
      <c r="O30" s="9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1AEED-D516-49B6-A6FF-F6CDC6895127}">
  <dimension ref="A1:M31"/>
  <sheetViews>
    <sheetView zoomScale="130" zoomScaleNormal="130" workbookViewId="0">
      <selection activeCell="K34" sqref="K34"/>
    </sheetView>
  </sheetViews>
  <sheetFormatPr defaultRowHeight="15"/>
  <cols>
    <col min="2" max="2" width="9.7109375" customWidth="1"/>
    <col min="3" max="3" width="14.42578125" customWidth="1"/>
    <col min="6" max="6" width="24.28515625" customWidth="1"/>
    <col min="7" max="7" width="11.85546875" customWidth="1"/>
    <col min="8" max="8" width="9.140625" style="5"/>
    <col min="13" max="13" width="16.140625" style="9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5" t="s">
        <v>7</v>
      </c>
      <c r="I1" t="s">
        <v>8</v>
      </c>
      <c r="J1" t="s">
        <v>10</v>
      </c>
      <c r="K1" t="s">
        <v>12</v>
      </c>
      <c r="L1" t="s">
        <v>13</v>
      </c>
      <c r="M1" s="9" t="s">
        <v>14</v>
      </c>
    </row>
    <row r="2" spans="1:13">
      <c r="A2" t="s">
        <v>15</v>
      </c>
      <c r="B2" t="s">
        <v>271</v>
      </c>
      <c r="C2" t="s">
        <v>272</v>
      </c>
      <c r="D2">
        <v>2206034</v>
      </c>
      <c r="E2" t="s">
        <v>273</v>
      </c>
      <c r="F2" t="s">
        <v>274</v>
      </c>
      <c r="G2" t="s">
        <v>275</v>
      </c>
      <c r="H2" s="5">
        <v>10</v>
      </c>
      <c r="I2">
        <v>10</v>
      </c>
      <c r="J2" s="6">
        <v>10</v>
      </c>
      <c r="K2" s="6">
        <v>5.7</v>
      </c>
      <c r="M2" s="9">
        <v>0</v>
      </c>
    </row>
    <row r="3" spans="1:13">
      <c r="A3" t="s">
        <v>21</v>
      </c>
      <c r="B3" t="s">
        <v>271</v>
      </c>
      <c r="C3" t="s">
        <v>276</v>
      </c>
      <c r="D3">
        <v>2206162</v>
      </c>
      <c r="E3" t="s">
        <v>277</v>
      </c>
      <c r="F3" t="s">
        <v>278</v>
      </c>
      <c r="G3" t="s">
        <v>279</v>
      </c>
      <c r="H3" s="5">
        <v>10</v>
      </c>
      <c r="I3">
        <v>10</v>
      </c>
      <c r="J3" s="6">
        <v>10</v>
      </c>
      <c r="K3" s="6">
        <v>6</v>
      </c>
      <c r="M3" s="9">
        <v>2.5</v>
      </c>
    </row>
    <row r="4" spans="1:13">
      <c r="A4" t="s">
        <v>26</v>
      </c>
      <c r="B4" t="s">
        <v>271</v>
      </c>
      <c r="C4" t="s">
        <v>280</v>
      </c>
      <c r="D4">
        <v>2206100</v>
      </c>
      <c r="E4" t="s">
        <v>281</v>
      </c>
      <c r="F4" t="s">
        <v>282</v>
      </c>
      <c r="G4" t="s">
        <v>283</v>
      </c>
      <c r="H4" s="5">
        <v>10</v>
      </c>
      <c r="I4">
        <v>10</v>
      </c>
      <c r="J4" s="6">
        <v>10</v>
      </c>
      <c r="K4" s="6">
        <v>6</v>
      </c>
      <c r="M4" s="9">
        <v>0</v>
      </c>
    </row>
    <row r="5" spans="1:13">
      <c r="A5" t="s">
        <v>31</v>
      </c>
      <c r="B5" t="s">
        <v>271</v>
      </c>
      <c r="C5" t="s">
        <v>284</v>
      </c>
      <c r="D5">
        <v>2206006</v>
      </c>
      <c r="E5" t="s">
        <v>285</v>
      </c>
      <c r="F5" t="s">
        <v>286</v>
      </c>
      <c r="G5" t="s">
        <v>287</v>
      </c>
      <c r="H5" s="5">
        <v>10</v>
      </c>
      <c r="I5">
        <v>10</v>
      </c>
      <c r="J5" s="6">
        <v>10</v>
      </c>
      <c r="K5" s="6">
        <v>6</v>
      </c>
      <c r="M5" s="9">
        <v>0.25</v>
      </c>
    </row>
    <row r="6" spans="1:13">
      <c r="A6" t="s">
        <v>36</v>
      </c>
      <c r="B6" t="s">
        <v>271</v>
      </c>
      <c r="C6" t="s">
        <v>288</v>
      </c>
      <c r="D6">
        <v>2206066</v>
      </c>
      <c r="E6" t="s">
        <v>289</v>
      </c>
      <c r="F6" t="s">
        <v>290</v>
      </c>
      <c r="G6" t="s">
        <v>291</v>
      </c>
      <c r="H6" s="5">
        <v>10</v>
      </c>
      <c r="I6">
        <v>10</v>
      </c>
      <c r="J6" s="6">
        <v>10</v>
      </c>
      <c r="K6" s="6">
        <v>5.7</v>
      </c>
      <c r="M6" s="9">
        <v>0</v>
      </c>
    </row>
    <row r="7" spans="1:13" s="3" customFormat="1">
      <c r="A7" s="3" t="s">
        <v>41</v>
      </c>
      <c r="B7" s="3" t="s">
        <v>271</v>
      </c>
      <c r="C7" s="3" t="s">
        <v>292</v>
      </c>
      <c r="D7" s="3">
        <v>2006111</v>
      </c>
      <c r="E7" s="3" t="s">
        <v>293</v>
      </c>
      <c r="F7" s="3" t="s">
        <v>294</v>
      </c>
      <c r="G7" s="3" t="s">
        <v>295</v>
      </c>
      <c r="H7" s="5">
        <v>8</v>
      </c>
      <c r="I7" s="4"/>
      <c r="J7" s="8">
        <v>8.5</v>
      </c>
      <c r="K7" s="7"/>
      <c r="M7" s="9">
        <v>0</v>
      </c>
    </row>
    <row r="8" spans="1:13">
      <c r="A8" t="s">
        <v>46</v>
      </c>
      <c r="B8" t="s">
        <v>271</v>
      </c>
      <c r="C8" t="s">
        <v>296</v>
      </c>
      <c r="D8">
        <v>2206038</v>
      </c>
      <c r="E8" t="s">
        <v>297</v>
      </c>
      <c r="F8" t="s">
        <v>298</v>
      </c>
      <c r="G8" t="s">
        <v>299</v>
      </c>
      <c r="H8" s="5">
        <v>10</v>
      </c>
      <c r="I8">
        <v>10</v>
      </c>
      <c r="J8" s="6">
        <v>10</v>
      </c>
      <c r="K8" s="6">
        <v>5.2</v>
      </c>
      <c r="M8" s="9">
        <v>0</v>
      </c>
    </row>
    <row r="9" spans="1:13">
      <c r="A9" t="s">
        <v>51</v>
      </c>
      <c r="B9" t="s">
        <v>271</v>
      </c>
      <c r="C9" t="s">
        <v>300</v>
      </c>
      <c r="D9">
        <v>2206262</v>
      </c>
      <c r="E9" t="s">
        <v>301</v>
      </c>
      <c r="F9" t="s">
        <v>302</v>
      </c>
      <c r="G9" t="s">
        <v>303</v>
      </c>
      <c r="H9" s="5">
        <v>10</v>
      </c>
      <c r="I9">
        <v>10</v>
      </c>
      <c r="J9" s="6">
        <v>10</v>
      </c>
      <c r="K9" s="6">
        <v>6</v>
      </c>
      <c r="M9" s="9">
        <v>2</v>
      </c>
    </row>
    <row r="10" spans="1:13">
      <c r="A10" t="s">
        <v>56</v>
      </c>
      <c r="B10" t="s">
        <v>271</v>
      </c>
      <c r="C10" t="s">
        <v>304</v>
      </c>
      <c r="D10">
        <v>2209012</v>
      </c>
      <c r="E10" t="s">
        <v>305</v>
      </c>
      <c r="F10" t="s">
        <v>306</v>
      </c>
      <c r="G10" t="s">
        <v>307</v>
      </c>
      <c r="H10" s="5">
        <v>9.3000000000000007</v>
      </c>
      <c r="I10">
        <v>9.5</v>
      </c>
      <c r="J10" s="6">
        <v>9.75</v>
      </c>
      <c r="K10" s="6">
        <v>6</v>
      </c>
      <c r="M10" s="9">
        <v>0</v>
      </c>
    </row>
    <row r="11" spans="1:13">
      <c r="A11" t="s">
        <v>61</v>
      </c>
      <c r="B11" t="s">
        <v>271</v>
      </c>
      <c r="C11" t="s">
        <v>308</v>
      </c>
      <c r="D11">
        <v>2206077</v>
      </c>
      <c r="E11" t="s">
        <v>309</v>
      </c>
      <c r="F11" t="s">
        <v>310</v>
      </c>
      <c r="G11" t="s">
        <v>311</v>
      </c>
      <c r="H11" s="5">
        <v>10</v>
      </c>
      <c r="I11">
        <v>10</v>
      </c>
      <c r="J11" s="6">
        <v>10</v>
      </c>
      <c r="K11" s="6">
        <v>6</v>
      </c>
      <c r="M11" s="9">
        <v>2.75</v>
      </c>
    </row>
    <row r="12" spans="1:13">
      <c r="A12" t="s">
        <v>66</v>
      </c>
      <c r="B12" t="s">
        <v>271</v>
      </c>
      <c r="C12" t="s">
        <v>312</v>
      </c>
      <c r="D12">
        <v>2206173</v>
      </c>
      <c r="E12" t="s">
        <v>313</v>
      </c>
      <c r="F12" t="s">
        <v>314</v>
      </c>
      <c r="G12" t="s">
        <v>315</v>
      </c>
      <c r="H12" s="5">
        <v>10</v>
      </c>
      <c r="I12">
        <v>10</v>
      </c>
      <c r="J12" s="6">
        <v>10</v>
      </c>
      <c r="K12" s="6">
        <v>6</v>
      </c>
      <c r="M12" s="9">
        <v>2.5</v>
      </c>
    </row>
    <row r="13" spans="1:13">
      <c r="A13" t="s">
        <v>71</v>
      </c>
      <c r="B13" t="s">
        <v>271</v>
      </c>
      <c r="C13" t="s">
        <v>316</v>
      </c>
      <c r="D13">
        <v>2206265</v>
      </c>
      <c r="E13" t="s">
        <v>317</v>
      </c>
      <c r="F13" t="s">
        <v>318</v>
      </c>
      <c r="G13" t="s">
        <v>319</v>
      </c>
      <c r="H13" s="5">
        <v>10</v>
      </c>
      <c r="I13">
        <v>10</v>
      </c>
      <c r="J13" s="6">
        <v>10</v>
      </c>
      <c r="K13" s="6">
        <v>5.5</v>
      </c>
      <c r="M13" s="9">
        <v>0</v>
      </c>
    </row>
    <row r="14" spans="1:13">
      <c r="A14" t="s">
        <v>76</v>
      </c>
      <c r="B14" t="s">
        <v>271</v>
      </c>
      <c r="C14" t="s">
        <v>320</v>
      </c>
      <c r="D14">
        <v>2206296</v>
      </c>
      <c r="E14" t="s">
        <v>321</v>
      </c>
      <c r="F14" t="s">
        <v>322</v>
      </c>
      <c r="G14" t="s">
        <v>323</v>
      </c>
      <c r="H14" s="5">
        <v>10</v>
      </c>
      <c r="I14">
        <v>10</v>
      </c>
      <c r="J14" s="6">
        <v>10</v>
      </c>
      <c r="K14" s="6">
        <v>5.5</v>
      </c>
      <c r="M14" s="9">
        <v>0</v>
      </c>
    </row>
    <row r="15" spans="1:13">
      <c r="A15" t="s">
        <v>81</v>
      </c>
      <c r="B15" t="s">
        <v>271</v>
      </c>
      <c r="C15" t="s">
        <v>324</v>
      </c>
      <c r="D15">
        <v>2206298</v>
      </c>
      <c r="E15" t="s">
        <v>325</v>
      </c>
      <c r="F15" t="s">
        <v>326</v>
      </c>
      <c r="G15" t="s">
        <v>327</v>
      </c>
      <c r="H15" s="5">
        <v>10</v>
      </c>
      <c r="I15">
        <v>10</v>
      </c>
      <c r="J15" s="6">
        <v>9.3000000000000007</v>
      </c>
      <c r="K15" s="6">
        <v>4.75</v>
      </c>
      <c r="M15" s="9">
        <v>0</v>
      </c>
    </row>
    <row r="16" spans="1:13">
      <c r="A16" t="s">
        <v>86</v>
      </c>
      <c r="B16" t="s">
        <v>271</v>
      </c>
      <c r="C16" t="s">
        <v>328</v>
      </c>
      <c r="D16">
        <v>2206110</v>
      </c>
      <c r="E16" t="s">
        <v>329</v>
      </c>
      <c r="F16" t="s">
        <v>330</v>
      </c>
      <c r="G16" t="s">
        <v>331</v>
      </c>
      <c r="H16" s="5">
        <v>8.5</v>
      </c>
      <c r="I16" s="4">
        <v>5.5</v>
      </c>
      <c r="J16" s="6">
        <v>8.5</v>
      </c>
      <c r="K16" s="6">
        <v>4.5</v>
      </c>
      <c r="M16" s="9">
        <v>0</v>
      </c>
    </row>
    <row r="17" spans="1:13">
      <c r="A17" t="s">
        <v>91</v>
      </c>
      <c r="B17" t="s">
        <v>271</v>
      </c>
      <c r="C17" t="s">
        <v>332</v>
      </c>
      <c r="D17">
        <v>2206174</v>
      </c>
      <c r="E17" t="s">
        <v>333</v>
      </c>
      <c r="F17" t="s">
        <v>334</v>
      </c>
      <c r="G17" t="s">
        <v>335</v>
      </c>
      <c r="H17" s="5">
        <v>10</v>
      </c>
      <c r="I17">
        <v>10</v>
      </c>
      <c r="J17" s="6">
        <v>10</v>
      </c>
      <c r="K17" s="6">
        <v>6</v>
      </c>
      <c r="M17" s="9">
        <v>1</v>
      </c>
    </row>
    <row r="18" spans="1:13">
      <c r="A18" t="s">
        <v>96</v>
      </c>
      <c r="B18" t="s">
        <v>271</v>
      </c>
      <c r="C18" t="s">
        <v>336</v>
      </c>
      <c r="D18">
        <v>2206268</v>
      </c>
      <c r="E18" t="s">
        <v>337</v>
      </c>
      <c r="F18" t="s">
        <v>338</v>
      </c>
      <c r="G18" t="s">
        <v>339</v>
      </c>
      <c r="H18" s="5">
        <v>10</v>
      </c>
      <c r="I18">
        <v>10</v>
      </c>
      <c r="J18" s="6">
        <v>10</v>
      </c>
      <c r="K18" s="6">
        <v>5.5</v>
      </c>
      <c r="M18" s="9">
        <v>0</v>
      </c>
    </row>
    <row r="19" spans="1:13">
      <c r="A19" t="s">
        <v>100</v>
      </c>
      <c r="B19" t="s">
        <v>271</v>
      </c>
      <c r="C19" t="s">
        <v>340</v>
      </c>
      <c r="D19">
        <v>2206175</v>
      </c>
      <c r="E19" t="s">
        <v>341</v>
      </c>
      <c r="F19" t="s">
        <v>342</v>
      </c>
      <c r="G19" t="s">
        <v>343</v>
      </c>
      <c r="H19" s="5">
        <v>10</v>
      </c>
      <c r="I19" s="4">
        <v>6.25</v>
      </c>
      <c r="J19" s="6">
        <v>9.75</v>
      </c>
      <c r="K19" s="6">
        <v>6</v>
      </c>
      <c r="M19" s="9">
        <v>0</v>
      </c>
    </row>
    <row r="20" spans="1:13">
      <c r="A20" t="s">
        <v>105</v>
      </c>
      <c r="B20" t="s">
        <v>271</v>
      </c>
      <c r="C20" t="s">
        <v>344</v>
      </c>
      <c r="D20">
        <v>2206112</v>
      </c>
      <c r="E20" t="s">
        <v>345</v>
      </c>
      <c r="F20" t="s">
        <v>346</v>
      </c>
      <c r="G20" t="s">
        <v>347</v>
      </c>
      <c r="H20" s="5">
        <v>10</v>
      </c>
      <c r="I20">
        <v>10</v>
      </c>
      <c r="J20" s="6">
        <v>9.3000000000000007</v>
      </c>
      <c r="K20" s="6">
        <v>5.5</v>
      </c>
      <c r="M20" s="9">
        <v>0</v>
      </c>
    </row>
    <row r="21" spans="1:13">
      <c r="A21" t="s">
        <v>110</v>
      </c>
      <c r="B21" t="s">
        <v>271</v>
      </c>
      <c r="C21" t="s">
        <v>348</v>
      </c>
      <c r="D21">
        <v>2206148</v>
      </c>
      <c r="E21" t="s">
        <v>349</v>
      </c>
      <c r="F21" t="s">
        <v>350</v>
      </c>
      <c r="G21" t="s">
        <v>351</v>
      </c>
      <c r="H21" s="5">
        <v>10</v>
      </c>
      <c r="I21">
        <v>10</v>
      </c>
      <c r="J21" s="6">
        <v>9.9</v>
      </c>
      <c r="K21" s="6">
        <v>6</v>
      </c>
      <c r="M21" s="9">
        <v>0</v>
      </c>
    </row>
    <row r="22" spans="1:13">
      <c r="A22" t="s">
        <v>115</v>
      </c>
      <c r="B22" t="s">
        <v>271</v>
      </c>
      <c r="C22" t="s">
        <v>352</v>
      </c>
      <c r="D22">
        <v>2206185</v>
      </c>
      <c r="E22" t="s">
        <v>353</v>
      </c>
      <c r="F22" t="s">
        <v>354</v>
      </c>
      <c r="G22" t="s">
        <v>355</v>
      </c>
      <c r="H22" s="5">
        <v>10</v>
      </c>
      <c r="I22">
        <v>10</v>
      </c>
      <c r="J22" s="6">
        <v>10</v>
      </c>
      <c r="K22" s="6">
        <v>6</v>
      </c>
      <c r="M22" s="9">
        <v>1.25</v>
      </c>
    </row>
    <row r="23" spans="1:13">
      <c r="A23" t="s">
        <v>120</v>
      </c>
      <c r="B23" t="s">
        <v>271</v>
      </c>
      <c r="C23" t="s">
        <v>356</v>
      </c>
      <c r="D23">
        <v>2206309</v>
      </c>
      <c r="E23" t="s">
        <v>357</v>
      </c>
      <c r="F23" t="s">
        <v>358</v>
      </c>
      <c r="G23" t="s">
        <v>279</v>
      </c>
      <c r="H23" s="5">
        <v>10</v>
      </c>
      <c r="I23">
        <v>10</v>
      </c>
      <c r="J23" s="6">
        <v>10</v>
      </c>
      <c r="K23" s="6">
        <v>6</v>
      </c>
      <c r="M23" s="9">
        <v>0.25</v>
      </c>
    </row>
    <row r="24" spans="1:13">
      <c r="A24" t="s">
        <v>125</v>
      </c>
      <c r="B24" t="s">
        <v>271</v>
      </c>
      <c r="C24" t="s">
        <v>359</v>
      </c>
      <c r="D24">
        <v>2207004</v>
      </c>
      <c r="E24" t="s">
        <v>360</v>
      </c>
      <c r="F24" t="s">
        <v>361</v>
      </c>
      <c r="G24" t="s">
        <v>362</v>
      </c>
      <c r="H24" s="5">
        <v>9.5</v>
      </c>
      <c r="I24" s="4">
        <v>6.25</v>
      </c>
      <c r="J24" s="6">
        <v>9.25</v>
      </c>
      <c r="K24" s="6">
        <v>5.5</v>
      </c>
      <c r="M24" s="9">
        <v>0</v>
      </c>
    </row>
    <row r="25" spans="1:13">
      <c r="A25" t="s">
        <v>130</v>
      </c>
      <c r="B25" t="s">
        <v>271</v>
      </c>
      <c r="C25" t="s">
        <v>363</v>
      </c>
      <c r="D25">
        <v>2206187</v>
      </c>
      <c r="E25" t="s">
        <v>364</v>
      </c>
      <c r="F25" t="s">
        <v>365</v>
      </c>
      <c r="G25" t="s">
        <v>366</v>
      </c>
      <c r="H25" s="5">
        <v>10</v>
      </c>
      <c r="I25">
        <v>10</v>
      </c>
      <c r="J25" s="6">
        <v>10</v>
      </c>
      <c r="K25" s="6">
        <v>6</v>
      </c>
      <c r="M25" s="9">
        <v>1.75</v>
      </c>
    </row>
    <row r="26" spans="1:13">
      <c r="A26" t="s">
        <v>134</v>
      </c>
      <c r="B26" t="s">
        <v>271</v>
      </c>
      <c r="C26" t="s">
        <v>367</v>
      </c>
      <c r="D26">
        <v>2206311</v>
      </c>
      <c r="E26" t="s">
        <v>368</v>
      </c>
      <c r="F26" t="s">
        <v>369</v>
      </c>
      <c r="G26" t="s">
        <v>370</v>
      </c>
      <c r="H26" s="5">
        <v>10</v>
      </c>
      <c r="I26" s="4">
        <v>7</v>
      </c>
      <c r="J26" s="6">
        <v>8.5</v>
      </c>
      <c r="K26" s="6">
        <v>5.75</v>
      </c>
      <c r="M26" s="9">
        <v>0</v>
      </c>
    </row>
    <row r="27" spans="1:13">
      <c r="A27" t="s">
        <v>138</v>
      </c>
      <c r="B27" t="s">
        <v>271</v>
      </c>
      <c r="C27" t="s">
        <v>371</v>
      </c>
      <c r="D27">
        <v>2206283</v>
      </c>
      <c r="E27" t="s">
        <v>372</v>
      </c>
      <c r="F27" t="s">
        <v>373</v>
      </c>
      <c r="G27" t="s">
        <v>374</v>
      </c>
      <c r="H27" s="5">
        <v>10</v>
      </c>
      <c r="I27">
        <v>10</v>
      </c>
      <c r="J27" s="6">
        <v>10</v>
      </c>
      <c r="K27" s="6">
        <v>6</v>
      </c>
      <c r="M27" s="9">
        <v>1.5</v>
      </c>
    </row>
    <row r="28" spans="1:13">
      <c r="A28" t="s">
        <v>143</v>
      </c>
      <c r="B28" t="s">
        <v>271</v>
      </c>
      <c r="C28" t="s">
        <v>375</v>
      </c>
      <c r="D28">
        <v>2206092</v>
      </c>
      <c r="E28" t="s">
        <v>376</v>
      </c>
      <c r="F28" t="s">
        <v>377</v>
      </c>
      <c r="G28" t="s">
        <v>378</v>
      </c>
      <c r="H28" s="5">
        <v>10</v>
      </c>
      <c r="I28">
        <v>10</v>
      </c>
      <c r="J28" s="6">
        <v>9.8000000000000007</v>
      </c>
      <c r="K28" s="6">
        <v>5</v>
      </c>
      <c r="M28" s="9">
        <v>0</v>
      </c>
    </row>
    <row r="29" spans="1:13">
      <c r="A29" t="s">
        <v>148</v>
      </c>
      <c r="B29" t="s">
        <v>271</v>
      </c>
      <c r="C29" t="s">
        <v>379</v>
      </c>
      <c r="D29">
        <v>2206221</v>
      </c>
      <c r="E29" t="s">
        <v>380</v>
      </c>
      <c r="F29" t="s">
        <v>381</v>
      </c>
      <c r="G29" t="s">
        <v>382</v>
      </c>
      <c r="H29" s="5">
        <v>10</v>
      </c>
      <c r="I29" s="4">
        <v>5.75</v>
      </c>
      <c r="J29" s="6">
        <v>10</v>
      </c>
      <c r="K29" s="6">
        <v>5.5</v>
      </c>
      <c r="M29" s="9">
        <v>0</v>
      </c>
    </row>
    <row r="30" spans="1:13">
      <c r="A30" t="s">
        <v>153</v>
      </c>
      <c r="B30" t="s">
        <v>271</v>
      </c>
      <c r="C30" t="s">
        <v>383</v>
      </c>
      <c r="D30">
        <v>2206255</v>
      </c>
      <c r="E30" t="s">
        <v>384</v>
      </c>
      <c r="F30" t="s">
        <v>385</v>
      </c>
      <c r="G30" t="s">
        <v>386</v>
      </c>
      <c r="H30" s="5">
        <v>10</v>
      </c>
      <c r="I30">
        <v>10</v>
      </c>
      <c r="J30" s="6">
        <v>10</v>
      </c>
      <c r="K30" s="6">
        <v>6</v>
      </c>
      <c r="M30" s="9">
        <v>1.25</v>
      </c>
    </row>
    <row r="31" spans="1:13">
      <c r="A31" t="s">
        <v>387</v>
      </c>
      <c r="B31" t="s">
        <v>271</v>
      </c>
      <c r="C31" t="s">
        <v>388</v>
      </c>
      <c r="D31">
        <v>2206032</v>
      </c>
      <c r="E31" t="s">
        <v>389</v>
      </c>
      <c r="F31" t="s">
        <v>390</v>
      </c>
      <c r="G31" t="s">
        <v>391</v>
      </c>
      <c r="H31" s="5">
        <v>10</v>
      </c>
      <c r="I31">
        <v>10</v>
      </c>
      <c r="J31" s="6">
        <v>10</v>
      </c>
      <c r="K31" s="6">
        <v>6</v>
      </c>
      <c r="M31" s="9"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EC707-71B4-4E8F-AC0E-96DAFCEEB03D}">
  <dimension ref="A1:M31"/>
  <sheetViews>
    <sheetView zoomScale="130" zoomScaleNormal="130" workbookViewId="0">
      <selection activeCell="D42" sqref="D42"/>
    </sheetView>
  </sheetViews>
  <sheetFormatPr defaultRowHeight="15"/>
  <cols>
    <col min="2" max="2" width="9.7109375" customWidth="1"/>
    <col min="3" max="3" width="12.42578125" customWidth="1"/>
    <col min="6" max="6" width="35.42578125" customWidth="1"/>
    <col min="7" max="7" width="11.85546875" customWidth="1"/>
    <col min="8" max="8" width="9.140625" style="5"/>
    <col min="13" max="13" width="16.140625" style="9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5" t="s">
        <v>7</v>
      </c>
      <c r="I1" t="s">
        <v>8</v>
      </c>
      <c r="J1" t="s">
        <v>10</v>
      </c>
      <c r="K1" t="s">
        <v>12</v>
      </c>
      <c r="L1" t="s">
        <v>13</v>
      </c>
      <c r="M1" s="9" t="s">
        <v>14</v>
      </c>
    </row>
    <row r="2" spans="1:13">
      <c r="A2" t="s">
        <v>15</v>
      </c>
      <c r="B2" t="s">
        <v>392</v>
      </c>
      <c r="C2" t="s">
        <v>393</v>
      </c>
      <c r="D2">
        <v>2206001</v>
      </c>
      <c r="E2" t="s">
        <v>394</v>
      </c>
      <c r="F2" t="s">
        <v>395</v>
      </c>
      <c r="G2" t="s">
        <v>396</v>
      </c>
      <c r="H2" s="5">
        <v>10</v>
      </c>
      <c r="I2">
        <v>10</v>
      </c>
      <c r="J2" s="6">
        <v>10</v>
      </c>
      <c r="K2" s="6">
        <v>6</v>
      </c>
      <c r="M2" s="9">
        <v>2.25</v>
      </c>
    </row>
    <row r="3" spans="1:13">
      <c r="A3" t="s">
        <v>21</v>
      </c>
      <c r="B3" t="s">
        <v>392</v>
      </c>
      <c r="C3" t="s">
        <v>397</v>
      </c>
      <c r="D3">
        <v>2206004</v>
      </c>
      <c r="E3" t="s">
        <v>398</v>
      </c>
      <c r="F3" t="s">
        <v>399</v>
      </c>
      <c r="G3" t="s">
        <v>400</v>
      </c>
      <c r="H3" s="5">
        <v>10</v>
      </c>
      <c r="I3">
        <v>10</v>
      </c>
      <c r="J3" s="6">
        <v>9.6</v>
      </c>
      <c r="K3" s="6">
        <v>4.75</v>
      </c>
      <c r="M3" s="9">
        <v>0</v>
      </c>
    </row>
    <row r="4" spans="1:13">
      <c r="A4" t="s">
        <v>26</v>
      </c>
      <c r="B4" t="s">
        <v>392</v>
      </c>
      <c r="C4" t="s">
        <v>401</v>
      </c>
      <c r="D4">
        <v>2206163</v>
      </c>
      <c r="E4" t="s">
        <v>402</v>
      </c>
      <c r="F4" t="s">
        <v>403</v>
      </c>
      <c r="G4" t="s">
        <v>404</v>
      </c>
      <c r="H4" s="5">
        <v>10</v>
      </c>
      <c r="I4">
        <v>10</v>
      </c>
      <c r="J4" s="6">
        <v>10</v>
      </c>
      <c r="K4" s="6">
        <v>5.5</v>
      </c>
      <c r="M4" s="9">
        <v>0</v>
      </c>
    </row>
    <row r="5" spans="1:13">
      <c r="A5" t="s">
        <v>31</v>
      </c>
      <c r="B5" t="s">
        <v>392</v>
      </c>
      <c r="C5" t="s">
        <v>405</v>
      </c>
      <c r="D5">
        <v>2206068</v>
      </c>
      <c r="E5" t="s">
        <v>406</v>
      </c>
      <c r="F5" t="s">
        <v>407</v>
      </c>
      <c r="G5" t="s">
        <v>408</v>
      </c>
      <c r="H5" s="5">
        <v>9</v>
      </c>
      <c r="I5" s="4">
        <v>6</v>
      </c>
      <c r="J5" s="6">
        <v>7.75</v>
      </c>
      <c r="K5" s="6">
        <v>4.75</v>
      </c>
      <c r="M5" s="9">
        <v>0</v>
      </c>
    </row>
    <row r="6" spans="1:13">
      <c r="A6" t="s">
        <v>36</v>
      </c>
      <c r="B6" t="s">
        <v>392</v>
      </c>
      <c r="C6" t="s">
        <v>409</v>
      </c>
      <c r="D6">
        <v>2206009</v>
      </c>
      <c r="E6" t="s">
        <v>410</v>
      </c>
      <c r="F6" t="s">
        <v>411</v>
      </c>
      <c r="G6" t="s">
        <v>412</v>
      </c>
      <c r="H6" s="5">
        <v>10</v>
      </c>
      <c r="I6">
        <v>10</v>
      </c>
      <c r="J6" s="6">
        <v>10</v>
      </c>
      <c r="K6" s="6">
        <v>5.5</v>
      </c>
      <c r="M6" s="9">
        <v>0</v>
      </c>
    </row>
    <row r="7" spans="1:13">
      <c r="A7" t="s">
        <v>41</v>
      </c>
      <c r="B7" t="s">
        <v>392</v>
      </c>
      <c r="C7" t="s">
        <v>413</v>
      </c>
      <c r="D7">
        <v>2206264</v>
      </c>
      <c r="E7" t="s">
        <v>414</v>
      </c>
      <c r="F7" t="s">
        <v>415</v>
      </c>
      <c r="G7" t="s">
        <v>416</v>
      </c>
      <c r="H7" s="5">
        <v>10</v>
      </c>
      <c r="I7">
        <v>10</v>
      </c>
      <c r="J7" s="6">
        <v>10</v>
      </c>
      <c r="K7" s="6">
        <v>5.75</v>
      </c>
      <c r="M7" s="9">
        <v>0</v>
      </c>
    </row>
    <row r="8" spans="1:13">
      <c r="A8" t="s">
        <v>46</v>
      </c>
      <c r="B8" t="s">
        <v>392</v>
      </c>
      <c r="C8" t="s">
        <v>417</v>
      </c>
      <c r="D8">
        <v>2206134</v>
      </c>
      <c r="E8" t="s">
        <v>418</v>
      </c>
      <c r="F8" t="s">
        <v>419</v>
      </c>
      <c r="G8" t="s">
        <v>420</v>
      </c>
      <c r="H8" s="5">
        <v>10</v>
      </c>
      <c r="I8">
        <v>10</v>
      </c>
      <c r="J8" s="6">
        <v>10</v>
      </c>
      <c r="K8" s="6">
        <v>6</v>
      </c>
      <c r="M8" s="9">
        <v>1.75</v>
      </c>
    </row>
    <row r="9" spans="1:13">
      <c r="A9" t="s">
        <v>51</v>
      </c>
      <c r="B9" t="s">
        <v>392</v>
      </c>
      <c r="C9" t="s">
        <v>421</v>
      </c>
      <c r="D9">
        <v>2206169</v>
      </c>
      <c r="E9" t="s">
        <v>422</v>
      </c>
      <c r="F9" t="s">
        <v>423</v>
      </c>
      <c r="G9" t="s">
        <v>424</v>
      </c>
      <c r="H9" s="5">
        <v>9</v>
      </c>
      <c r="I9">
        <v>9</v>
      </c>
      <c r="J9" s="6">
        <v>8.75</v>
      </c>
      <c r="K9" s="6">
        <v>5.5</v>
      </c>
      <c r="M9" s="9">
        <v>0</v>
      </c>
    </row>
    <row r="10" spans="1:13">
      <c r="A10" t="s">
        <v>56</v>
      </c>
      <c r="B10" t="s">
        <v>392</v>
      </c>
      <c r="C10" t="s">
        <v>425</v>
      </c>
      <c r="D10">
        <v>2206136</v>
      </c>
      <c r="E10" t="s">
        <v>426</v>
      </c>
      <c r="F10" t="s">
        <v>427</v>
      </c>
      <c r="G10" t="s">
        <v>428</v>
      </c>
      <c r="H10" s="5">
        <v>10</v>
      </c>
      <c r="I10">
        <v>10</v>
      </c>
      <c r="J10" s="6">
        <v>10</v>
      </c>
      <c r="K10" s="6">
        <v>5.9</v>
      </c>
      <c r="M10" s="9">
        <v>0</v>
      </c>
    </row>
    <row r="11" spans="1:13">
      <c r="A11" t="s">
        <v>61</v>
      </c>
      <c r="B11" t="s">
        <v>392</v>
      </c>
      <c r="C11" t="s">
        <v>429</v>
      </c>
      <c r="D11">
        <v>2206042</v>
      </c>
      <c r="E11" t="s">
        <v>430</v>
      </c>
      <c r="F11" t="s">
        <v>431</v>
      </c>
      <c r="G11" t="s">
        <v>323</v>
      </c>
      <c r="H11" s="5">
        <v>10</v>
      </c>
      <c r="I11">
        <v>10</v>
      </c>
      <c r="J11" s="6">
        <v>10</v>
      </c>
      <c r="K11" s="6">
        <v>6</v>
      </c>
      <c r="M11" s="9">
        <v>2.5</v>
      </c>
    </row>
    <row r="12" spans="1:13">
      <c r="A12" t="s">
        <v>66</v>
      </c>
      <c r="B12" t="s">
        <v>392</v>
      </c>
      <c r="C12" t="s">
        <v>432</v>
      </c>
      <c r="D12">
        <v>2206235</v>
      </c>
      <c r="E12" t="s">
        <v>433</v>
      </c>
      <c r="F12" t="s">
        <v>434</v>
      </c>
      <c r="G12" t="s">
        <v>435</v>
      </c>
      <c r="H12" s="5">
        <v>10</v>
      </c>
      <c r="I12">
        <v>10</v>
      </c>
      <c r="J12" s="6">
        <v>10</v>
      </c>
      <c r="K12" s="6">
        <v>6</v>
      </c>
      <c r="M12" s="9">
        <v>3</v>
      </c>
    </row>
    <row r="13" spans="1:13">
      <c r="A13" t="s">
        <v>71</v>
      </c>
      <c r="B13" t="s">
        <v>392</v>
      </c>
      <c r="C13" t="s">
        <v>436</v>
      </c>
      <c r="D13">
        <v>2206297</v>
      </c>
      <c r="E13" t="s">
        <v>437</v>
      </c>
      <c r="F13" t="s">
        <v>438</v>
      </c>
      <c r="G13" t="s">
        <v>435</v>
      </c>
      <c r="H13" s="5">
        <v>10</v>
      </c>
      <c r="I13">
        <v>10</v>
      </c>
      <c r="J13" s="6">
        <v>10</v>
      </c>
      <c r="K13" s="6">
        <v>6</v>
      </c>
      <c r="M13" s="9">
        <v>1</v>
      </c>
    </row>
    <row r="14" spans="1:13">
      <c r="A14" t="s">
        <v>76</v>
      </c>
      <c r="B14" t="s">
        <v>392</v>
      </c>
      <c r="C14" t="s">
        <v>439</v>
      </c>
      <c r="D14">
        <v>2206240</v>
      </c>
      <c r="E14" t="s">
        <v>440</v>
      </c>
      <c r="F14" t="s">
        <v>441</v>
      </c>
      <c r="G14" t="s">
        <v>442</v>
      </c>
      <c r="H14" s="5">
        <v>10</v>
      </c>
      <c r="I14">
        <v>10</v>
      </c>
      <c r="J14" s="6">
        <v>8.9</v>
      </c>
      <c r="K14" s="6">
        <v>5.5</v>
      </c>
      <c r="M14" s="9">
        <v>0</v>
      </c>
    </row>
    <row r="15" spans="1:13">
      <c r="A15" t="s">
        <v>81</v>
      </c>
      <c r="B15" t="s">
        <v>392</v>
      </c>
      <c r="C15" t="s">
        <v>443</v>
      </c>
      <c r="D15">
        <v>2206266</v>
      </c>
      <c r="E15" t="s">
        <v>444</v>
      </c>
      <c r="F15" t="s">
        <v>445</v>
      </c>
      <c r="G15" t="s">
        <v>446</v>
      </c>
      <c r="H15" s="5">
        <v>9</v>
      </c>
      <c r="I15" s="4">
        <v>5.5</v>
      </c>
      <c r="J15" s="6">
        <v>8</v>
      </c>
      <c r="K15" s="6">
        <v>4.5</v>
      </c>
      <c r="M15" s="9">
        <v>0</v>
      </c>
    </row>
    <row r="16" spans="1:13">
      <c r="A16" t="s">
        <v>86</v>
      </c>
      <c r="B16" t="s">
        <v>392</v>
      </c>
      <c r="C16" t="s">
        <v>447</v>
      </c>
      <c r="D16">
        <v>2206141</v>
      </c>
      <c r="E16" t="s">
        <v>448</v>
      </c>
      <c r="F16" t="s">
        <v>449</v>
      </c>
      <c r="G16" t="s">
        <v>362</v>
      </c>
      <c r="H16" s="5">
        <v>10</v>
      </c>
      <c r="I16">
        <v>10</v>
      </c>
      <c r="J16" s="6">
        <v>9.1</v>
      </c>
      <c r="K16" s="6">
        <v>5.5</v>
      </c>
      <c r="M16" s="9">
        <v>0</v>
      </c>
    </row>
    <row r="17" spans="1:13">
      <c r="A17" t="s">
        <v>91</v>
      </c>
      <c r="B17" t="s">
        <v>392</v>
      </c>
      <c r="C17" t="s">
        <v>450</v>
      </c>
      <c r="D17">
        <v>2206243</v>
      </c>
      <c r="E17" t="s">
        <v>451</v>
      </c>
      <c r="F17" t="s">
        <v>452</v>
      </c>
      <c r="G17" t="s">
        <v>453</v>
      </c>
      <c r="H17" s="5">
        <v>10</v>
      </c>
      <c r="I17">
        <v>10</v>
      </c>
      <c r="J17" s="6">
        <v>10</v>
      </c>
      <c r="K17" s="6">
        <v>5.8</v>
      </c>
      <c r="M17" s="9">
        <v>0</v>
      </c>
    </row>
    <row r="18" spans="1:13">
      <c r="A18" t="s">
        <v>96</v>
      </c>
      <c r="B18" t="s">
        <v>392</v>
      </c>
      <c r="C18" t="s">
        <v>454</v>
      </c>
      <c r="D18">
        <v>2206180</v>
      </c>
      <c r="E18" t="s">
        <v>455</v>
      </c>
      <c r="F18" t="s">
        <v>456</v>
      </c>
      <c r="G18" t="s">
        <v>457</v>
      </c>
      <c r="H18" s="5">
        <v>9</v>
      </c>
      <c r="I18" s="4">
        <v>6.5</v>
      </c>
      <c r="J18" s="6">
        <v>9.25</v>
      </c>
      <c r="K18" s="6">
        <v>5.25</v>
      </c>
      <c r="M18" s="9">
        <v>0</v>
      </c>
    </row>
    <row r="19" spans="1:13">
      <c r="A19" t="s">
        <v>100</v>
      </c>
      <c r="B19" t="s">
        <v>392</v>
      </c>
      <c r="C19" t="s">
        <v>458</v>
      </c>
      <c r="D19">
        <v>2206305</v>
      </c>
      <c r="E19" t="s">
        <v>459</v>
      </c>
      <c r="F19" t="s">
        <v>460</v>
      </c>
      <c r="G19" t="s">
        <v>461</v>
      </c>
      <c r="H19" s="5">
        <v>10</v>
      </c>
      <c r="I19">
        <v>10</v>
      </c>
      <c r="J19" s="6">
        <v>10</v>
      </c>
      <c r="K19" s="6">
        <v>6</v>
      </c>
      <c r="M19" s="9">
        <v>2.5</v>
      </c>
    </row>
    <row r="20" spans="1:13">
      <c r="A20" t="s">
        <v>105</v>
      </c>
      <c r="B20" t="s">
        <v>392</v>
      </c>
      <c r="C20" t="s">
        <v>462</v>
      </c>
      <c r="D20">
        <v>2206209</v>
      </c>
      <c r="E20" t="s">
        <v>463</v>
      </c>
      <c r="F20" t="s">
        <v>464</v>
      </c>
      <c r="G20" t="s">
        <v>382</v>
      </c>
      <c r="H20" s="5">
        <v>9</v>
      </c>
      <c r="I20">
        <v>10</v>
      </c>
      <c r="J20" s="6">
        <v>9</v>
      </c>
      <c r="K20" s="6">
        <v>5.25</v>
      </c>
      <c r="M20" s="9">
        <v>0</v>
      </c>
    </row>
    <row r="21" spans="1:13">
      <c r="A21" t="s">
        <v>110</v>
      </c>
      <c r="B21" t="s">
        <v>392</v>
      </c>
      <c r="C21" t="s">
        <v>465</v>
      </c>
      <c r="D21">
        <v>2206086</v>
      </c>
      <c r="E21" t="s">
        <v>466</v>
      </c>
      <c r="F21" t="s">
        <v>467</v>
      </c>
      <c r="G21" t="s">
        <v>468</v>
      </c>
      <c r="H21" s="5">
        <v>8</v>
      </c>
      <c r="I21" s="4">
        <v>3.5</v>
      </c>
      <c r="J21" s="6">
        <v>6.75</v>
      </c>
      <c r="K21" s="6">
        <v>3.75</v>
      </c>
      <c r="M21" s="9">
        <v>0</v>
      </c>
    </row>
    <row r="22" spans="1:13">
      <c r="A22" t="s">
        <v>115</v>
      </c>
      <c r="B22" t="s">
        <v>392</v>
      </c>
      <c r="C22" t="s">
        <v>469</v>
      </c>
      <c r="D22">
        <v>2206210</v>
      </c>
      <c r="E22" t="s">
        <v>470</v>
      </c>
      <c r="F22" t="s">
        <v>471</v>
      </c>
      <c r="G22" t="s">
        <v>472</v>
      </c>
      <c r="H22" s="5">
        <v>10</v>
      </c>
      <c r="I22">
        <v>10</v>
      </c>
      <c r="J22" s="6">
        <v>10</v>
      </c>
      <c r="K22" s="6">
        <v>6</v>
      </c>
      <c r="M22" s="9">
        <v>0</v>
      </c>
    </row>
    <row r="23" spans="1:13">
      <c r="A23" t="s">
        <v>120</v>
      </c>
      <c r="B23" t="s">
        <v>392</v>
      </c>
      <c r="C23" t="s">
        <v>473</v>
      </c>
      <c r="D23">
        <v>2206212</v>
      </c>
      <c r="E23" t="s">
        <v>474</v>
      </c>
      <c r="F23" t="s">
        <v>475</v>
      </c>
      <c r="G23" t="s">
        <v>370</v>
      </c>
      <c r="H23" s="5">
        <v>10</v>
      </c>
      <c r="I23">
        <v>10</v>
      </c>
      <c r="J23" s="6">
        <v>10</v>
      </c>
      <c r="K23" s="6">
        <v>6</v>
      </c>
      <c r="M23" s="9">
        <v>0</v>
      </c>
    </row>
    <row r="24" spans="1:13">
      <c r="A24" t="s">
        <v>125</v>
      </c>
      <c r="B24" t="s">
        <v>392</v>
      </c>
      <c r="C24" t="s">
        <v>476</v>
      </c>
      <c r="D24">
        <v>2206214</v>
      </c>
      <c r="E24" t="s">
        <v>477</v>
      </c>
      <c r="F24" t="s">
        <v>478</v>
      </c>
      <c r="G24" t="s">
        <v>479</v>
      </c>
      <c r="H24" s="5">
        <v>10</v>
      </c>
      <c r="I24">
        <v>10</v>
      </c>
      <c r="J24" s="6">
        <v>10</v>
      </c>
      <c r="K24" s="6">
        <v>6</v>
      </c>
      <c r="M24" s="9">
        <v>3.75</v>
      </c>
    </row>
    <row r="25" spans="1:13">
      <c r="A25" t="s">
        <v>130</v>
      </c>
      <c r="B25" t="s">
        <v>392</v>
      </c>
      <c r="C25" t="s">
        <v>480</v>
      </c>
      <c r="D25">
        <v>2206278</v>
      </c>
      <c r="E25" t="s">
        <v>481</v>
      </c>
      <c r="F25" t="s">
        <v>482</v>
      </c>
      <c r="G25" t="s">
        <v>483</v>
      </c>
      <c r="H25" s="5">
        <v>10</v>
      </c>
      <c r="I25">
        <v>10</v>
      </c>
      <c r="J25" s="6">
        <v>10</v>
      </c>
      <c r="K25" s="6">
        <v>6</v>
      </c>
      <c r="M25" s="9">
        <v>1.5</v>
      </c>
    </row>
    <row r="26" spans="1:13">
      <c r="A26" t="s">
        <v>134</v>
      </c>
      <c r="B26" t="s">
        <v>392</v>
      </c>
      <c r="C26" t="s">
        <v>484</v>
      </c>
      <c r="D26">
        <v>2206250</v>
      </c>
      <c r="E26" t="s">
        <v>485</v>
      </c>
      <c r="F26" t="s">
        <v>486</v>
      </c>
      <c r="G26" t="s">
        <v>487</v>
      </c>
      <c r="H26" s="5">
        <v>10</v>
      </c>
      <c r="I26">
        <v>10</v>
      </c>
      <c r="J26" s="6">
        <v>10</v>
      </c>
      <c r="K26" s="6">
        <v>6</v>
      </c>
      <c r="M26" s="9">
        <v>0</v>
      </c>
    </row>
    <row r="27" spans="1:13">
      <c r="A27" t="s">
        <v>138</v>
      </c>
      <c r="B27" t="s">
        <v>392</v>
      </c>
      <c r="C27" t="s">
        <v>488</v>
      </c>
      <c r="D27">
        <v>2206315</v>
      </c>
      <c r="E27" t="s">
        <v>489</v>
      </c>
      <c r="F27" t="s">
        <v>490</v>
      </c>
      <c r="G27" t="s">
        <v>491</v>
      </c>
      <c r="H27" s="5">
        <v>10</v>
      </c>
      <c r="I27" s="4">
        <v>2.5</v>
      </c>
      <c r="J27" s="6">
        <v>9.5</v>
      </c>
      <c r="K27" s="6">
        <v>5</v>
      </c>
      <c r="M27" s="9">
        <v>0</v>
      </c>
    </row>
    <row r="28" spans="1:13">
      <c r="A28" t="s">
        <v>143</v>
      </c>
      <c r="B28" t="s">
        <v>392</v>
      </c>
      <c r="C28" t="s">
        <v>492</v>
      </c>
      <c r="D28">
        <v>2206220</v>
      </c>
      <c r="E28" t="s">
        <v>493</v>
      </c>
      <c r="F28" t="s">
        <v>494</v>
      </c>
      <c r="G28" t="s">
        <v>495</v>
      </c>
      <c r="H28" s="5">
        <v>10</v>
      </c>
      <c r="I28">
        <v>10</v>
      </c>
      <c r="J28" s="6">
        <v>10</v>
      </c>
      <c r="K28" s="6">
        <v>5.7</v>
      </c>
      <c r="M28" s="9">
        <v>0</v>
      </c>
    </row>
    <row r="29" spans="1:13">
      <c r="A29" t="s">
        <v>148</v>
      </c>
      <c r="B29" t="s">
        <v>392</v>
      </c>
      <c r="C29" t="s">
        <v>496</v>
      </c>
      <c r="D29">
        <v>2206095</v>
      </c>
      <c r="E29" t="s">
        <v>497</v>
      </c>
      <c r="F29" t="s">
        <v>498</v>
      </c>
      <c r="G29" t="s">
        <v>499</v>
      </c>
      <c r="H29" s="5">
        <v>9.5</v>
      </c>
      <c r="I29">
        <v>10</v>
      </c>
      <c r="J29" s="6">
        <v>10</v>
      </c>
      <c r="K29" s="6">
        <v>6</v>
      </c>
      <c r="M29" s="9">
        <v>0</v>
      </c>
    </row>
    <row r="30" spans="1:13">
      <c r="A30" t="s">
        <v>153</v>
      </c>
      <c r="B30" t="s">
        <v>392</v>
      </c>
      <c r="C30" t="s">
        <v>500</v>
      </c>
      <c r="D30">
        <v>2206061</v>
      </c>
      <c r="E30" t="s">
        <v>501</v>
      </c>
      <c r="F30" t="s">
        <v>502</v>
      </c>
      <c r="G30" t="s">
        <v>503</v>
      </c>
      <c r="H30" s="5">
        <v>10</v>
      </c>
      <c r="I30">
        <v>10</v>
      </c>
      <c r="J30" s="6">
        <v>10</v>
      </c>
      <c r="K30" s="6">
        <v>6</v>
      </c>
      <c r="M30" s="9">
        <v>0.75</v>
      </c>
    </row>
    <row r="31" spans="1:13">
      <c r="A31" t="s">
        <v>387</v>
      </c>
      <c r="B31" t="s">
        <v>392</v>
      </c>
      <c r="C31" t="s">
        <v>504</v>
      </c>
      <c r="D31">
        <v>2206286</v>
      </c>
      <c r="E31" t="s">
        <v>505</v>
      </c>
      <c r="F31" t="s">
        <v>506</v>
      </c>
      <c r="G31" t="s">
        <v>507</v>
      </c>
      <c r="H31" s="5">
        <v>7</v>
      </c>
      <c r="I31">
        <v>10</v>
      </c>
      <c r="J31" s="6">
        <v>9.5</v>
      </c>
      <c r="K31" s="6">
        <v>5.25</v>
      </c>
      <c r="M31" s="9">
        <v>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B8901-376D-4489-8560-7242E57D3B44}">
  <dimension ref="A1:M30"/>
  <sheetViews>
    <sheetView zoomScale="145" zoomScaleNormal="145" workbookViewId="0">
      <selection activeCell="K31" sqref="K31"/>
    </sheetView>
  </sheetViews>
  <sheetFormatPr defaultRowHeight="15"/>
  <cols>
    <col min="2" max="2" width="9.7109375" customWidth="1"/>
    <col min="3" max="3" width="16.7109375" customWidth="1"/>
    <col min="6" max="6" width="22.7109375" customWidth="1"/>
    <col min="7" max="7" width="11.85546875" customWidth="1"/>
    <col min="8" max="8" width="8" style="5" customWidth="1"/>
    <col min="9" max="9" width="8.42578125" customWidth="1"/>
    <col min="13" max="13" width="16.140625" style="9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5" t="s">
        <v>7</v>
      </c>
      <c r="I1" t="s">
        <v>8</v>
      </c>
      <c r="J1" t="s">
        <v>10</v>
      </c>
      <c r="K1" t="s">
        <v>12</v>
      </c>
      <c r="L1" t="s">
        <v>13</v>
      </c>
      <c r="M1" s="9" t="s">
        <v>14</v>
      </c>
    </row>
    <row r="2" spans="1:13">
      <c r="A2" t="s">
        <v>15</v>
      </c>
      <c r="B2" t="s">
        <v>508</v>
      </c>
      <c r="C2" t="s">
        <v>509</v>
      </c>
      <c r="D2">
        <v>2206257</v>
      </c>
      <c r="E2" t="s">
        <v>510</v>
      </c>
      <c r="F2" t="s">
        <v>511</v>
      </c>
      <c r="G2" t="s">
        <v>351</v>
      </c>
      <c r="H2" s="5">
        <v>10</v>
      </c>
      <c r="I2">
        <v>10</v>
      </c>
      <c r="J2" s="6">
        <v>10</v>
      </c>
      <c r="K2" s="6">
        <v>5.6</v>
      </c>
      <c r="L2" s="2"/>
      <c r="M2" s="9">
        <v>0</v>
      </c>
    </row>
    <row r="3" spans="1:13">
      <c r="A3" t="s">
        <v>21</v>
      </c>
      <c r="B3" t="s">
        <v>508</v>
      </c>
      <c r="C3" t="s">
        <v>512</v>
      </c>
      <c r="D3">
        <v>2206289</v>
      </c>
      <c r="E3" t="s">
        <v>513</v>
      </c>
      <c r="F3" t="s">
        <v>514</v>
      </c>
      <c r="G3" t="s">
        <v>515</v>
      </c>
      <c r="H3" s="5">
        <v>10</v>
      </c>
      <c r="I3">
        <v>10</v>
      </c>
      <c r="J3" s="6">
        <v>10</v>
      </c>
      <c r="K3" s="6">
        <v>6</v>
      </c>
      <c r="M3" s="9">
        <v>1.5</v>
      </c>
    </row>
    <row r="4" spans="1:13">
      <c r="A4" t="s">
        <v>26</v>
      </c>
      <c r="B4" t="s">
        <v>508</v>
      </c>
      <c r="C4" t="s">
        <v>516</v>
      </c>
      <c r="D4">
        <v>2206290</v>
      </c>
      <c r="E4" t="s">
        <v>517</v>
      </c>
      <c r="F4" t="s">
        <v>518</v>
      </c>
      <c r="G4" t="s">
        <v>519</v>
      </c>
      <c r="H4" s="5">
        <v>10</v>
      </c>
      <c r="I4">
        <v>10</v>
      </c>
      <c r="J4" s="6">
        <v>10</v>
      </c>
      <c r="K4" s="6">
        <v>6</v>
      </c>
      <c r="M4" s="9">
        <v>2.75</v>
      </c>
    </row>
    <row r="5" spans="1:13">
      <c r="A5" t="s">
        <v>31</v>
      </c>
      <c r="B5" t="s">
        <v>508</v>
      </c>
      <c r="C5" t="s">
        <v>520</v>
      </c>
      <c r="D5">
        <v>2206104</v>
      </c>
      <c r="E5" t="s">
        <v>521</v>
      </c>
      <c r="F5" t="s">
        <v>522</v>
      </c>
      <c r="G5" t="s">
        <v>523</v>
      </c>
      <c r="H5" s="5">
        <v>10</v>
      </c>
      <c r="I5">
        <v>10</v>
      </c>
      <c r="J5" s="6">
        <v>9</v>
      </c>
      <c r="K5" s="6">
        <v>6</v>
      </c>
      <c r="M5" s="9">
        <v>0</v>
      </c>
    </row>
    <row r="6" spans="1:13">
      <c r="A6" t="s">
        <v>36</v>
      </c>
      <c r="B6" t="s">
        <v>508</v>
      </c>
      <c r="C6" t="s">
        <v>524</v>
      </c>
      <c r="D6">
        <v>2206229</v>
      </c>
      <c r="E6" t="s">
        <v>525</v>
      </c>
      <c r="F6" t="s">
        <v>526</v>
      </c>
      <c r="G6" t="s">
        <v>527</v>
      </c>
      <c r="H6" s="5">
        <v>10</v>
      </c>
      <c r="I6">
        <v>10</v>
      </c>
      <c r="J6" s="6">
        <v>10</v>
      </c>
      <c r="K6" s="6">
        <v>5</v>
      </c>
      <c r="M6" s="9">
        <v>0.25</v>
      </c>
    </row>
    <row r="7" spans="1:13">
      <c r="A7" t="s">
        <v>41</v>
      </c>
      <c r="B7" t="s">
        <v>508</v>
      </c>
      <c r="C7" t="s">
        <v>528</v>
      </c>
      <c r="D7">
        <v>2206106</v>
      </c>
      <c r="E7" t="s">
        <v>529</v>
      </c>
      <c r="F7" t="s">
        <v>530</v>
      </c>
      <c r="G7" t="s">
        <v>531</v>
      </c>
      <c r="H7" s="5">
        <v>8</v>
      </c>
      <c r="I7">
        <v>10</v>
      </c>
      <c r="J7" s="6">
        <v>8.5</v>
      </c>
      <c r="K7" s="6">
        <v>4.5</v>
      </c>
      <c r="M7" s="9">
        <v>0</v>
      </c>
    </row>
    <row r="8" spans="1:13">
      <c r="A8" t="s">
        <v>46</v>
      </c>
      <c r="B8" t="s">
        <v>508</v>
      </c>
      <c r="C8" t="s">
        <v>532</v>
      </c>
      <c r="D8">
        <v>2206011</v>
      </c>
      <c r="E8" t="s">
        <v>533</v>
      </c>
      <c r="F8" t="s">
        <v>534</v>
      </c>
      <c r="G8" t="s">
        <v>535</v>
      </c>
      <c r="H8" s="5">
        <v>9.3000000000000007</v>
      </c>
      <c r="I8">
        <v>10</v>
      </c>
      <c r="J8" s="6">
        <v>9.4</v>
      </c>
      <c r="K8" s="6">
        <v>5</v>
      </c>
      <c r="M8" s="9">
        <v>0</v>
      </c>
    </row>
    <row r="9" spans="1:13">
      <c r="A9" t="s">
        <v>51</v>
      </c>
      <c r="B9" t="s">
        <v>508</v>
      </c>
      <c r="C9" t="s">
        <v>536</v>
      </c>
      <c r="D9">
        <v>2206078</v>
      </c>
      <c r="E9" t="s">
        <v>537</v>
      </c>
      <c r="F9" t="s">
        <v>538</v>
      </c>
      <c r="G9" t="s">
        <v>539</v>
      </c>
      <c r="H9" s="5">
        <v>9</v>
      </c>
      <c r="I9">
        <v>10</v>
      </c>
      <c r="J9" s="6">
        <v>9.6</v>
      </c>
      <c r="K9" s="6">
        <v>5.75</v>
      </c>
      <c r="M9" s="9">
        <v>0</v>
      </c>
    </row>
    <row r="10" spans="1:13">
      <c r="A10" t="s">
        <v>56</v>
      </c>
      <c r="B10" t="s">
        <v>508</v>
      </c>
      <c r="C10" t="s">
        <v>540</v>
      </c>
      <c r="D10">
        <v>2206200</v>
      </c>
      <c r="E10" t="s">
        <v>541</v>
      </c>
      <c r="F10" t="s">
        <v>542</v>
      </c>
      <c r="G10" t="s">
        <v>543</v>
      </c>
      <c r="H10" s="5">
        <v>10</v>
      </c>
      <c r="I10">
        <v>10</v>
      </c>
      <c r="J10" s="6">
        <v>6.8</v>
      </c>
      <c r="K10" s="6">
        <v>4.5</v>
      </c>
      <c r="M10" s="9">
        <v>0</v>
      </c>
    </row>
    <row r="11" spans="1:13">
      <c r="A11" t="s">
        <v>61</v>
      </c>
      <c r="B11" t="s">
        <v>508</v>
      </c>
      <c r="C11" t="s">
        <v>544</v>
      </c>
      <c r="D11">
        <v>2206239</v>
      </c>
      <c r="E11" t="s">
        <v>545</v>
      </c>
      <c r="F11" t="s">
        <v>546</v>
      </c>
      <c r="G11" t="s">
        <v>547</v>
      </c>
      <c r="H11" s="5">
        <v>10</v>
      </c>
      <c r="I11">
        <v>10</v>
      </c>
      <c r="J11" s="6">
        <v>10</v>
      </c>
      <c r="K11" s="6">
        <v>6</v>
      </c>
      <c r="M11" s="9">
        <v>2</v>
      </c>
    </row>
    <row r="12" spans="1:13">
      <c r="A12" t="s">
        <v>66</v>
      </c>
      <c r="B12" t="s">
        <v>508</v>
      </c>
      <c r="C12" t="s">
        <v>548</v>
      </c>
      <c r="D12">
        <v>2206111</v>
      </c>
      <c r="E12" t="s">
        <v>549</v>
      </c>
      <c r="F12" t="s">
        <v>550</v>
      </c>
      <c r="G12" t="s">
        <v>442</v>
      </c>
      <c r="H12" s="5">
        <v>8.5</v>
      </c>
      <c r="I12">
        <v>10</v>
      </c>
      <c r="J12" s="6">
        <v>9.5</v>
      </c>
      <c r="K12" s="6">
        <v>5.75</v>
      </c>
      <c r="M12" s="9">
        <v>0</v>
      </c>
    </row>
    <row r="13" spans="1:13">
      <c r="A13" t="s">
        <v>71</v>
      </c>
      <c r="B13" t="s">
        <v>508</v>
      </c>
      <c r="C13" t="s">
        <v>551</v>
      </c>
      <c r="D13">
        <v>2206080</v>
      </c>
      <c r="E13" t="s">
        <v>552</v>
      </c>
      <c r="F13" t="s">
        <v>553</v>
      </c>
      <c r="G13" t="s">
        <v>554</v>
      </c>
      <c r="H13" s="5">
        <v>9.5</v>
      </c>
      <c r="I13">
        <v>10</v>
      </c>
      <c r="J13" s="6">
        <v>10</v>
      </c>
      <c r="K13" s="6">
        <v>6</v>
      </c>
      <c r="M13" s="9">
        <v>0</v>
      </c>
    </row>
    <row r="14" spans="1:13">
      <c r="A14" t="s">
        <v>76</v>
      </c>
      <c r="B14" t="s">
        <v>508</v>
      </c>
      <c r="C14" t="s">
        <v>555</v>
      </c>
      <c r="D14">
        <v>2206300</v>
      </c>
      <c r="E14" t="s">
        <v>556</v>
      </c>
      <c r="F14" t="s">
        <v>557</v>
      </c>
      <c r="G14" t="s">
        <v>558</v>
      </c>
      <c r="H14" s="5">
        <v>8.5</v>
      </c>
      <c r="I14">
        <v>10</v>
      </c>
      <c r="J14" s="6">
        <v>9</v>
      </c>
      <c r="K14" s="6">
        <v>6</v>
      </c>
      <c r="M14" s="9">
        <v>0</v>
      </c>
    </row>
    <row r="15" spans="1:13">
      <c r="A15" t="s">
        <v>81</v>
      </c>
      <c r="B15" t="s">
        <v>508</v>
      </c>
      <c r="C15" t="s">
        <v>559</v>
      </c>
      <c r="D15">
        <v>2206275</v>
      </c>
      <c r="E15" t="s">
        <v>560</v>
      </c>
      <c r="F15" t="s">
        <v>561</v>
      </c>
      <c r="G15" t="s">
        <v>562</v>
      </c>
      <c r="H15" s="5">
        <v>10</v>
      </c>
      <c r="I15">
        <v>10</v>
      </c>
      <c r="J15" s="6">
        <v>9.5</v>
      </c>
      <c r="K15" s="6">
        <v>6</v>
      </c>
      <c r="M15" s="9">
        <v>0</v>
      </c>
    </row>
    <row r="16" spans="1:13">
      <c r="A16" t="s">
        <v>86</v>
      </c>
      <c r="B16" t="s">
        <v>508</v>
      </c>
      <c r="C16" t="s">
        <v>563</v>
      </c>
      <c r="D16">
        <v>2206208</v>
      </c>
      <c r="E16" t="s">
        <v>564</v>
      </c>
      <c r="F16" t="s">
        <v>565</v>
      </c>
      <c r="G16" t="s">
        <v>535</v>
      </c>
      <c r="H16" s="5">
        <v>9.5</v>
      </c>
      <c r="I16">
        <v>10</v>
      </c>
      <c r="J16" s="6">
        <v>8.6</v>
      </c>
      <c r="K16" s="6">
        <v>5.5</v>
      </c>
      <c r="M16" s="9">
        <v>0</v>
      </c>
    </row>
    <row r="17" spans="1:13">
      <c r="A17" t="s">
        <v>91</v>
      </c>
      <c r="B17" t="s">
        <v>508</v>
      </c>
      <c r="C17" t="s">
        <v>566</v>
      </c>
      <c r="D17">
        <v>2206147</v>
      </c>
      <c r="E17" t="s">
        <v>567</v>
      </c>
      <c r="F17" t="s">
        <v>568</v>
      </c>
      <c r="G17" t="s">
        <v>569</v>
      </c>
      <c r="H17" s="5">
        <v>10</v>
      </c>
      <c r="I17" s="4">
        <v>9.25</v>
      </c>
      <c r="J17" s="6">
        <v>8.75</v>
      </c>
      <c r="K17" s="6">
        <v>5</v>
      </c>
      <c r="M17" s="9">
        <v>0</v>
      </c>
    </row>
    <row r="18" spans="1:13">
      <c r="A18" t="s">
        <v>96</v>
      </c>
      <c r="B18" t="s">
        <v>508</v>
      </c>
      <c r="C18" t="s">
        <v>570</v>
      </c>
      <c r="D18">
        <v>2206088</v>
      </c>
      <c r="E18" t="s">
        <v>571</v>
      </c>
      <c r="F18" t="s">
        <v>572</v>
      </c>
      <c r="G18" t="s">
        <v>573</v>
      </c>
      <c r="H18" s="5">
        <v>10</v>
      </c>
      <c r="I18">
        <v>10</v>
      </c>
      <c r="J18" s="6">
        <v>10</v>
      </c>
      <c r="K18" s="6">
        <v>6</v>
      </c>
      <c r="M18" s="9">
        <v>0</v>
      </c>
    </row>
    <row r="19" spans="1:13">
      <c r="A19" t="s">
        <v>100</v>
      </c>
      <c r="B19" t="s">
        <v>508</v>
      </c>
      <c r="C19" t="s">
        <v>574</v>
      </c>
      <c r="D19">
        <v>2206182</v>
      </c>
      <c r="E19" t="s">
        <v>575</v>
      </c>
      <c r="F19" t="s">
        <v>576</v>
      </c>
      <c r="G19" t="s">
        <v>577</v>
      </c>
      <c r="H19" s="5">
        <v>10</v>
      </c>
      <c r="I19">
        <v>10</v>
      </c>
      <c r="J19" s="6">
        <v>10</v>
      </c>
      <c r="K19" s="6">
        <v>5</v>
      </c>
      <c r="M19" s="9">
        <v>0</v>
      </c>
    </row>
    <row r="20" spans="1:13">
      <c r="A20" t="s">
        <v>105</v>
      </c>
      <c r="B20" t="s">
        <v>508</v>
      </c>
      <c r="C20" t="s">
        <v>578</v>
      </c>
      <c r="D20">
        <v>2206247</v>
      </c>
      <c r="E20" t="s">
        <v>579</v>
      </c>
      <c r="F20" t="s">
        <v>580</v>
      </c>
      <c r="G20" t="s">
        <v>581</v>
      </c>
      <c r="H20" s="5">
        <v>10</v>
      </c>
      <c r="I20">
        <v>10</v>
      </c>
      <c r="J20" s="6">
        <v>10</v>
      </c>
      <c r="K20" s="6">
        <v>6</v>
      </c>
      <c r="M20" s="9">
        <f ca="1">Table134[[#This Row],[Điểm cộng/trừ]]+1</f>
        <v>2.75</v>
      </c>
    </row>
    <row r="21" spans="1:13">
      <c r="A21" t="s">
        <v>110</v>
      </c>
      <c r="B21" t="s">
        <v>508</v>
      </c>
      <c r="C21" t="s">
        <v>582</v>
      </c>
      <c r="D21">
        <v>2206184</v>
      </c>
      <c r="E21" t="s">
        <v>583</v>
      </c>
      <c r="F21" t="s">
        <v>584</v>
      </c>
      <c r="G21" t="s">
        <v>585</v>
      </c>
      <c r="H21" s="5">
        <v>9.5</v>
      </c>
      <c r="I21" s="4">
        <v>8.75</v>
      </c>
      <c r="J21" s="6">
        <v>9.25</v>
      </c>
      <c r="K21" s="6">
        <v>5.5</v>
      </c>
      <c r="M21" s="9">
        <v>0</v>
      </c>
    </row>
    <row r="22" spans="1:13">
      <c r="A22" t="s">
        <v>115</v>
      </c>
      <c r="B22" t="s">
        <v>508</v>
      </c>
      <c r="C22" t="s">
        <v>586</v>
      </c>
      <c r="D22">
        <v>2206121</v>
      </c>
      <c r="E22" t="s">
        <v>587</v>
      </c>
      <c r="F22" t="s">
        <v>588</v>
      </c>
      <c r="G22" t="s">
        <v>303</v>
      </c>
      <c r="H22" s="5">
        <v>9.8000000000000007</v>
      </c>
      <c r="I22" s="4">
        <v>9.75</v>
      </c>
      <c r="J22" s="6">
        <v>9.75</v>
      </c>
      <c r="K22" s="6">
        <v>5.5</v>
      </c>
      <c r="M22" s="9">
        <v>0</v>
      </c>
    </row>
    <row r="23" spans="1:13">
      <c r="A23" t="s">
        <v>120</v>
      </c>
      <c r="B23" t="s">
        <v>508</v>
      </c>
      <c r="C23" t="s">
        <v>589</v>
      </c>
      <c r="D23">
        <v>2206089</v>
      </c>
      <c r="E23" t="s">
        <v>590</v>
      </c>
      <c r="F23" t="s">
        <v>591</v>
      </c>
      <c r="G23" t="s">
        <v>592</v>
      </c>
      <c r="H23" s="5">
        <v>9</v>
      </c>
      <c r="I23">
        <v>10</v>
      </c>
      <c r="J23" s="6">
        <v>10</v>
      </c>
      <c r="K23" s="6">
        <v>4.5</v>
      </c>
      <c r="M23" s="9">
        <v>0</v>
      </c>
    </row>
    <row r="24" spans="1:13">
      <c r="A24" t="s">
        <v>125</v>
      </c>
      <c r="B24" t="s">
        <v>508</v>
      </c>
      <c r="C24" t="s">
        <v>593</v>
      </c>
      <c r="D24">
        <v>2206316</v>
      </c>
      <c r="E24" t="s">
        <v>594</v>
      </c>
      <c r="F24" t="s">
        <v>595</v>
      </c>
      <c r="G24" t="s">
        <v>366</v>
      </c>
      <c r="H24" s="5">
        <v>10</v>
      </c>
      <c r="I24">
        <v>10</v>
      </c>
      <c r="J24" s="6">
        <v>10</v>
      </c>
      <c r="K24" s="6">
        <v>6</v>
      </c>
      <c r="M24" s="9">
        <v>2.75</v>
      </c>
    </row>
    <row r="25" spans="1:13">
      <c r="A25" t="s">
        <v>130</v>
      </c>
      <c r="B25" t="s">
        <v>508</v>
      </c>
      <c r="C25" t="s">
        <v>596</v>
      </c>
      <c r="D25">
        <v>2206094</v>
      </c>
      <c r="E25" t="s">
        <v>597</v>
      </c>
      <c r="F25" t="s">
        <v>598</v>
      </c>
      <c r="G25" t="s">
        <v>424</v>
      </c>
      <c r="H25" s="5">
        <v>10</v>
      </c>
      <c r="I25">
        <v>10</v>
      </c>
      <c r="J25" s="6">
        <v>10</v>
      </c>
      <c r="K25" s="6">
        <v>6</v>
      </c>
      <c r="M25" s="9">
        <v>1.25</v>
      </c>
    </row>
    <row r="26" spans="1:13">
      <c r="A26" t="s">
        <v>134</v>
      </c>
      <c r="B26" t="s">
        <v>508</v>
      </c>
      <c r="C26" t="s">
        <v>599</v>
      </c>
      <c r="D26">
        <v>2206056</v>
      </c>
      <c r="E26" t="s">
        <v>600</v>
      </c>
      <c r="F26" t="s">
        <v>601</v>
      </c>
      <c r="G26" t="s">
        <v>446</v>
      </c>
      <c r="H26" s="5">
        <v>9.8000000000000007</v>
      </c>
      <c r="I26">
        <v>10</v>
      </c>
      <c r="J26" s="6">
        <v>8.8000000000000007</v>
      </c>
      <c r="K26" s="6">
        <v>5.25</v>
      </c>
      <c r="M26" s="9">
        <v>0</v>
      </c>
    </row>
    <row r="27" spans="1:13">
      <c r="A27" t="s">
        <v>138</v>
      </c>
      <c r="B27" t="s">
        <v>508</v>
      </c>
      <c r="C27" t="s">
        <v>602</v>
      </c>
      <c r="D27">
        <v>2206222</v>
      </c>
      <c r="E27" t="s">
        <v>603</v>
      </c>
      <c r="F27" t="s">
        <v>604</v>
      </c>
      <c r="G27" t="s">
        <v>605</v>
      </c>
      <c r="H27" s="5">
        <v>9</v>
      </c>
      <c r="I27" s="4">
        <v>9.5</v>
      </c>
      <c r="J27" s="6">
        <v>9.5</v>
      </c>
      <c r="K27" s="6">
        <v>5.75</v>
      </c>
      <c r="M27" s="9">
        <v>0</v>
      </c>
    </row>
    <row r="28" spans="1:13">
      <c r="A28" t="s">
        <v>143</v>
      </c>
      <c r="B28" t="s">
        <v>508</v>
      </c>
      <c r="C28" t="s">
        <v>606</v>
      </c>
      <c r="D28">
        <v>2206189</v>
      </c>
      <c r="E28" t="s">
        <v>607</v>
      </c>
      <c r="F28" t="s">
        <v>608</v>
      </c>
      <c r="G28" t="s">
        <v>569</v>
      </c>
      <c r="H28" s="5">
        <v>10</v>
      </c>
      <c r="I28">
        <v>10</v>
      </c>
      <c r="J28" s="6">
        <v>9.5</v>
      </c>
      <c r="K28" s="6">
        <v>4.75</v>
      </c>
      <c r="M28" s="9">
        <v>0</v>
      </c>
    </row>
    <row r="29" spans="1:13">
      <c r="A29" t="s">
        <v>148</v>
      </c>
      <c r="B29" t="s">
        <v>508</v>
      </c>
      <c r="C29" t="s">
        <v>609</v>
      </c>
      <c r="D29">
        <v>2207003</v>
      </c>
      <c r="E29" t="s">
        <v>610</v>
      </c>
      <c r="F29" t="s">
        <v>611</v>
      </c>
      <c r="G29" t="s">
        <v>378</v>
      </c>
      <c r="H29" s="5">
        <v>9</v>
      </c>
      <c r="I29">
        <v>10</v>
      </c>
      <c r="J29" s="6">
        <v>9.6999999999999993</v>
      </c>
      <c r="K29" s="6">
        <v>5.5</v>
      </c>
      <c r="M29" s="9">
        <v>0</v>
      </c>
    </row>
    <row r="30" spans="1:13">
      <c r="A30" t="s">
        <v>153</v>
      </c>
      <c r="B30" t="s">
        <v>508</v>
      </c>
      <c r="C30" t="s">
        <v>612</v>
      </c>
      <c r="D30">
        <v>2209011</v>
      </c>
      <c r="E30" t="s">
        <v>613</v>
      </c>
      <c r="F30" t="s">
        <v>614</v>
      </c>
      <c r="G30" t="s">
        <v>615</v>
      </c>
      <c r="H30" s="5">
        <v>10</v>
      </c>
      <c r="I30">
        <v>10</v>
      </c>
      <c r="J30" s="6">
        <v>10</v>
      </c>
      <c r="K30" s="6">
        <v>5.9</v>
      </c>
      <c r="M30" s="9">
        <v>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312E2-BFEE-413B-B1C1-039BACF14471}">
  <dimension ref="A1:M29"/>
  <sheetViews>
    <sheetView zoomScale="160" zoomScaleNormal="160" workbookViewId="0">
      <selection activeCell="M36" sqref="M36"/>
    </sheetView>
  </sheetViews>
  <sheetFormatPr defaultRowHeight="15"/>
  <cols>
    <col min="2" max="2" width="9.7109375" customWidth="1"/>
    <col min="3" max="3" width="17.85546875" customWidth="1"/>
    <col min="6" max="6" width="22.7109375" customWidth="1"/>
    <col min="7" max="7" width="11.85546875" customWidth="1"/>
    <col min="8" max="8" width="9.140625" style="5"/>
    <col min="13" max="13" width="16.140625" style="9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5" t="s">
        <v>7</v>
      </c>
      <c r="I1" t="s">
        <v>8</v>
      </c>
      <c r="J1" t="s">
        <v>10</v>
      </c>
      <c r="K1" t="s">
        <v>12</v>
      </c>
      <c r="L1" t="s">
        <v>13</v>
      </c>
      <c r="M1" s="9" t="s">
        <v>14</v>
      </c>
    </row>
    <row r="2" spans="1:13">
      <c r="A2" t="s">
        <v>15</v>
      </c>
      <c r="B2" t="s">
        <v>616</v>
      </c>
      <c r="C2" t="s">
        <v>617</v>
      </c>
      <c r="D2">
        <v>2209001</v>
      </c>
      <c r="E2" t="s">
        <v>618</v>
      </c>
      <c r="F2" t="s">
        <v>619</v>
      </c>
      <c r="G2" t="s">
        <v>620</v>
      </c>
      <c r="H2" s="5">
        <v>9.3000000000000007</v>
      </c>
      <c r="I2">
        <v>10</v>
      </c>
      <c r="J2" s="6">
        <v>9</v>
      </c>
      <c r="K2" s="6">
        <v>5.25</v>
      </c>
      <c r="L2" s="2"/>
      <c r="M2" s="9">
        <v>0</v>
      </c>
    </row>
    <row r="3" spans="1:13">
      <c r="A3" t="s">
        <v>21</v>
      </c>
      <c r="B3" t="s">
        <v>616</v>
      </c>
      <c r="C3" t="s">
        <v>621</v>
      </c>
      <c r="D3">
        <v>2206098</v>
      </c>
      <c r="E3" t="s">
        <v>622</v>
      </c>
      <c r="F3" t="s">
        <v>623</v>
      </c>
      <c r="G3" t="s">
        <v>355</v>
      </c>
      <c r="H3" s="5">
        <v>10</v>
      </c>
      <c r="I3">
        <v>10</v>
      </c>
      <c r="J3" s="6">
        <v>9.9</v>
      </c>
      <c r="K3" s="6">
        <v>6</v>
      </c>
      <c r="M3" s="9">
        <v>0</v>
      </c>
    </row>
    <row r="4" spans="1:13">
      <c r="A4" t="s">
        <v>26</v>
      </c>
      <c r="B4" t="s">
        <v>616</v>
      </c>
      <c r="C4" t="s">
        <v>624</v>
      </c>
      <c r="D4">
        <v>2206161</v>
      </c>
      <c r="E4" t="s">
        <v>625</v>
      </c>
      <c r="F4" t="s">
        <v>626</v>
      </c>
      <c r="G4" t="s">
        <v>627</v>
      </c>
      <c r="H4" s="5">
        <v>10</v>
      </c>
      <c r="I4">
        <v>10</v>
      </c>
      <c r="J4" s="6">
        <v>9.75</v>
      </c>
      <c r="K4" s="6">
        <v>6</v>
      </c>
      <c r="M4" s="9">
        <v>0</v>
      </c>
    </row>
    <row r="5" spans="1:13">
      <c r="A5" t="s">
        <v>31</v>
      </c>
      <c r="B5" t="s">
        <v>616</v>
      </c>
      <c r="C5" t="s">
        <v>628</v>
      </c>
      <c r="D5">
        <v>2206005</v>
      </c>
      <c r="E5" t="s">
        <v>629</v>
      </c>
      <c r="F5" t="s">
        <v>630</v>
      </c>
      <c r="G5" t="s">
        <v>382</v>
      </c>
      <c r="H5" s="5">
        <v>10</v>
      </c>
      <c r="I5">
        <v>10</v>
      </c>
      <c r="J5" s="6">
        <v>10</v>
      </c>
      <c r="K5" s="6">
        <v>6</v>
      </c>
      <c r="M5" s="9">
        <v>2.75</v>
      </c>
    </row>
    <row r="6" spans="1:13">
      <c r="A6" t="s">
        <v>36</v>
      </c>
      <c r="B6" t="s">
        <v>616</v>
      </c>
      <c r="C6" t="s">
        <v>631</v>
      </c>
      <c r="D6">
        <v>2206226</v>
      </c>
      <c r="E6" t="s">
        <v>632</v>
      </c>
      <c r="F6" t="s">
        <v>633</v>
      </c>
      <c r="G6" t="s">
        <v>634</v>
      </c>
      <c r="H6" s="5">
        <v>10</v>
      </c>
      <c r="I6">
        <v>10</v>
      </c>
      <c r="J6" s="6">
        <v>10</v>
      </c>
      <c r="K6" s="6">
        <v>6</v>
      </c>
      <c r="M6" s="9">
        <v>0.5</v>
      </c>
    </row>
    <row r="7" spans="1:13">
      <c r="A7" t="s">
        <v>41</v>
      </c>
      <c r="B7" t="s">
        <v>616</v>
      </c>
      <c r="C7" t="s">
        <v>635</v>
      </c>
      <c r="D7">
        <v>2206232</v>
      </c>
      <c r="E7" t="s">
        <v>636</v>
      </c>
      <c r="F7" t="s">
        <v>637</v>
      </c>
      <c r="G7" t="s">
        <v>638</v>
      </c>
      <c r="H7" s="5">
        <v>10</v>
      </c>
      <c r="I7">
        <v>10</v>
      </c>
      <c r="J7" s="6">
        <v>10</v>
      </c>
      <c r="K7" s="6">
        <v>6</v>
      </c>
      <c r="M7" s="9">
        <v>2.5</v>
      </c>
    </row>
    <row r="8" spans="1:13">
      <c r="A8" t="s">
        <v>46</v>
      </c>
      <c r="B8" t="s">
        <v>616</v>
      </c>
      <c r="C8" t="s">
        <v>639</v>
      </c>
      <c r="D8">
        <v>2206075</v>
      </c>
      <c r="E8" t="s">
        <v>640</v>
      </c>
      <c r="F8" t="s">
        <v>641</v>
      </c>
      <c r="G8" t="s">
        <v>642</v>
      </c>
      <c r="H8" s="5">
        <v>9.5</v>
      </c>
      <c r="I8">
        <v>10</v>
      </c>
      <c r="J8" s="6">
        <v>9.8000000000000007</v>
      </c>
      <c r="K8" s="6">
        <v>5.25</v>
      </c>
      <c r="M8" s="9">
        <v>0</v>
      </c>
    </row>
    <row r="9" spans="1:13">
      <c r="A9" t="s">
        <v>51</v>
      </c>
      <c r="B9" t="s">
        <v>616</v>
      </c>
      <c r="C9" t="s">
        <v>643</v>
      </c>
      <c r="D9">
        <v>2206168</v>
      </c>
      <c r="E9" t="s">
        <v>644</v>
      </c>
      <c r="F9" t="s">
        <v>645</v>
      </c>
      <c r="G9" t="s">
        <v>646</v>
      </c>
      <c r="H9" s="5">
        <v>10</v>
      </c>
      <c r="I9">
        <v>10</v>
      </c>
      <c r="J9" s="6">
        <v>10</v>
      </c>
      <c r="K9" s="6">
        <v>6</v>
      </c>
      <c r="M9" s="9">
        <v>0.5</v>
      </c>
    </row>
    <row r="10" spans="1:13">
      <c r="A10" t="s">
        <v>56</v>
      </c>
      <c r="B10" t="s">
        <v>616</v>
      </c>
      <c r="C10" t="s">
        <v>647</v>
      </c>
      <c r="D10">
        <v>2206008</v>
      </c>
      <c r="E10" t="s">
        <v>648</v>
      </c>
      <c r="F10" t="s">
        <v>649</v>
      </c>
      <c r="G10" t="s">
        <v>650</v>
      </c>
      <c r="H10" s="5">
        <v>9.5</v>
      </c>
      <c r="I10">
        <v>10</v>
      </c>
      <c r="J10" s="6">
        <v>9.8000000000000007</v>
      </c>
      <c r="K10" s="6">
        <v>5</v>
      </c>
      <c r="M10" s="9">
        <v>0</v>
      </c>
    </row>
    <row r="11" spans="1:13">
      <c r="A11" t="s">
        <v>61</v>
      </c>
      <c r="B11" t="s">
        <v>616</v>
      </c>
      <c r="C11" t="s">
        <v>651</v>
      </c>
      <c r="D11">
        <v>2209002</v>
      </c>
      <c r="E11" t="s">
        <v>652</v>
      </c>
      <c r="F11" t="s">
        <v>653</v>
      </c>
      <c r="G11" t="s">
        <v>654</v>
      </c>
      <c r="H11" s="5">
        <v>10</v>
      </c>
      <c r="I11">
        <v>10</v>
      </c>
      <c r="J11" s="6">
        <v>10</v>
      </c>
      <c r="K11" s="6">
        <v>6</v>
      </c>
      <c r="M11" s="9">
        <v>1.75</v>
      </c>
    </row>
    <row r="12" spans="1:13">
      <c r="A12" t="s">
        <v>66</v>
      </c>
      <c r="B12" t="s">
        <v>616</v>
      </c>
      <c r="C12" t="s">
        <v>655</v>
      </c>
      <c r="D12">
        <v>2206292</v>
      </c>
      <c r="E12" t="s">
        <v>656</v>
      </c>
      <c r="F12" t="s">
        <v>657</v>
      </c>
      <c r="G12" t="s">
        <v>658</v>
      </c>
      <c r="H12" s="5">
        <v>9.5</v>
      </c>
      <c r="I12">
        <v>10</v>
      </c>
      <c r="J12" s="6">
        <v>10</v>
      </c>
      <c r="K12" s="6">
        <v>5</v>
      </c>
      <c r="M12" s="9">
        <v>0</v>
      </c>
    </row>
    <row r="13" spans="1:13">
      <c r="A13" t="s">
        <v>71</v>
      </c>
      <c r="B13" t="s">
        <v>616</v>
      </c>
      <c r="C13" t="s">
        <v>659</v>
      </c>
      <c r="D13">
        <v>2206269</v>
      </c>
      <c r="E13" t="s">
        <v>660</v>
      </c>
      <c r="F13" t="s">
        <v>661</v>
      </c>
      <c r="G13" t="s">
        <v>662</v>
      </c>
      <c r="H13" s="5">
        <v>10</v>
      </c>
      <c r="I13">
        <v>10</v>
      </c>
      <c r="J13" s="6">
        <v>9.8000000000000007</v>
      </c>
      <c r="K13" s="6">
        <v>6</v>
      </c>
      <c r="M13" s="9">
        <v>0</v>
      </c>
    </row>
    <row r="14" spans="1:13">
      <c r="A14" t="s">
        <v>76</v>
      </c>
      <c r="B14" t="s">
        <v>616</v>
      </c>
      <c r="C14" t="s">
        <v>663</v>
      </c>
      <c r="D14">
        <v>2206046</v>
      </c>
      <c r="E14" t="s">
        <v>664</v>
      </c>
      <c r="F14" t="s">
        <v>665</v>
      </c>
      <c r="G14" t="s">
        <v>666</v>
      </c>
      <c r="H14" s="5">
        <v>9.5</v>
      </c>
      <c r="I14">
        <v>10</v>
      </c>
      <c r="J14" s="6">
        <v>10</v>
      </c>
      <c r="K14" s="6">
        <v>6</v>
      </c>
      <c r="M14" s="9">
        <v>0.5</v>
      </c>
    </row>
    <row r="15" spans="1:13">
      <c r="A15" t="s">
        <v>81</v>
      </c>
      <c r="B15" t="s">
        <v>616</v>
      </c>
      <c r="C15" t="s">
        <v>667</v>
      </c>
      <c r="D15">
        <v>2206205</v>
      </c>
      <c r="E15" t="s">
        <v>668</v>
      </c>
      <c r="F15" t="s">
        <v>669</v>
      </c>
      <c r="G15" t="s">
        <v>491</v>
      </c>
      <c r="H15" s="5">
        <v>10</v>
      </c>
      <c r="I15">
        <v>10</v>
      </c>
      <c r="J15" s="6">
        <v>9.5</v>
      </c>
      <c r="K15" s="6">
        <v>6</v>
      </c>
      <c r="M15" s="9">
        <v>0</v>
      </c>
    </row>
    <row r="16" spans="1:13">
      <c r="A16" t="s">
        <v>86</v>
      </c>
      <c r="B16" t="s">
        <v>616</v>
      </c>
      <c r="C16" t="s">
        <v>670</v>
      </c>
      <c r="D16">
        <v>2206176</v>
      </c>
      <c r="E16" t="s">
        <v>671</v>
      </c>
      <c r="F16" t="s">
        <v>672</v>
      </c>
      <c r="G16" t="s">
        <v>673</v>
      </c>
      <c r="H16" s="5">
        <v>9.5</v>
      </c>
      <c r="I16" s="4">
        <v>9.5</v>
      </c>
      <c r="J16" s="6">
        <v>9.5</v>
      </c>
      <c r="K16" s="6">
        <v>5.75</v>
      </c>
      <c r="M16" s="9">
        <v>0</v>
      </c>
    </row>
    <row r="17" spans="1:13">
      <c r="A17" t="s">
        <v>91</v>
      </c>
      <c r="B17" t="s">
        <v>616</v>
      </c>
      <c r="C17" t="s">
        <v>674</v>
      </c>
      <c r="D17">
        <v>2206177</v>
      </c>
      <c r="E17" t="s">
        <v>675</v>
      </c>
      <c r="F17" t="s">
        <v>676</v>
      </c>
      <c r="G17" t="s">
        <v>677</v>
      </c>
      <c r="H17" s="5">
        <v>9</v>
      </c>
      <c r="I17" s="4">
        <v>3.5</v>
      </c>
      <c r="J17" s="6">
        <v>7.75</v>
      </c>
      <c r="K17" s="6">
        <v>5.5</v>
      </c>
      <c r="M17" s="9">
        <v>0</v>
      </c>
    </row>
    <row r="18" spans="1:13">
      <c r="A18" t="s">
        <v>96</v>
      </c>
      <c r="B18" t="s">
        <v>616</v>
      </c>
      <c r="C18" t="s">
        <v>678</v>
      </c>
      <c r="D18">
        <v>2206084</v>
      </c>
      <c r="E18" t="s">
        <v>679</v>
      </c>
      <c r="F18" t="s">
        <v>680</v>
      </c>
      <c r="G18" t="s">
        <v>331</v>
      </c>
      <c r="H18" s="5">
        <v>10</v>
      </c>
      <c r="I18" s="4">
        <v>7.5</v>
      </c>
      <c r="J18" s="6">
        <v>8.25</v>
      </c>
      <c r="K18" s="6">
        <v>4.5</v>
      </c>
      <c r="M18" s="9">
        <v>0</v>
      </c>
    </row>
    <row r="19" spans="1:13">
      <c r="A19" t="s">
        <v>100</v>
      </c>
      <c r="B19" t="s">
        <v>616</v>
      </c>
      <c r="C19" t="s">
        <v>681</v>
      </c>
      <c r="D19">
        <v>2206052</v>
      </c>
      <c r="E19" t="s">
        <v>682</v>
      </c>
      <c r="F19" t="s">
        <v>683</v>
      </c>
      <c r="G19" t="s">
        <v>684</v>
      </c>
      <c r="H19" s="5">
        <v>10</v>
      </c>
      <c r="I19">
        <v>10</v>
      </c>
      <c r="J19" s="6">
        <v>10</v>
      </c>
      <c r="K19" s="6">
        <v>6</v>
      </c>
      <c r="M19" s="9">
        <v>3.5</v>
      </c>
    </row>
    <row r="20" spans="1:13">
      <c r="A20" t="s">
        <v>105</v>
      </c>
      <c r="B20" t="s">
        <v>616</v>
      </c>
      <c r="C20" t="s">
        <v>685</v>
      </c>
      <c r="D20">
        <v>2206117</v>
      </c>
      <c r="E20" t="s">
        <v>686</v>
      </c>
      <c r="F20" t="s">
        <v>687</v>
      </c>
      <c r="G20" t="s">
        <v>688</v>
      </c>
      <c r="H20" s="5">
        <v>9.5</v>
      </c>
      <c r="I20">
        <v>10</v>
      </c>
      <c r="J20" s="6">
        <v>8.75</v>
      </c>
      <c r="K20" s="6">
        <v>5</v>
      </c>
      <c r="M20" s="9">
        <v>0</v>
      </c>
    </row>
    <row r="21" spans="1:13">
      <c r="A21" t="s">
        <v>110</v>
      </c>
      <c r="B21" t="s">
        <v>616</v>
      </c>
      <c r="C21" t="s">
        <v>689</v>
      </c>
      <c r="D21">
        <v>2206149</v>
      </c>
      <c r="E21" t="s">
        <v>690</v>
      </c>
      <c r="F21" t="s">
        <v>691</v>
      </c>
      <c r="G21" t="s">
        <v>692</v>
      </c>
      <c r="H21" s="5">
        <v>9.5</v>
      </c>
      <c r="I21" s="4">
        <v>8</v>
      </c>
      <c r="J21" s="6">
        <v>8.5</v>
      </c>
      <c r="K21" s="6">
        <v>4</v>
      </c>
      <c r="M21" s="9">
        <v>0</v>
      </c>
    </row>
    <row r="22" spans="1:13">
      <c r="A22" t="s">
        <v>115</v>
      </c>
      <c r="B22" t="s">
        <v>616</v>
      </c>
      <c r="C22" t="s">
        <v>693</v>
      </c>
      <c r="D22">
        <v>2206025</v>
      </c>
      <c r="E22" t="s">
        <v>694</v>
      </c>
      <c r="F22" t="s">
        <v>695</v>
      </c>
      <c r="G22" t="s">
        <v>627</v>
      </c>
      <c r="H22" s="5">
        <v>10</v>
      </c>
      <c r="I22">
        <v>10</v>
      </c>
      <c r="J22" s="6">
        <v>10</v>
      </c>
      <c r="K22" s="6">
        <v>6</v>
      </c>
      <c r="M22" s="9">
        <v>3.25</v>
      </c>
    </row>
    <row r="23" spans="1:13">
      <c r="A23" t="s">
        <v>120</v>
      </c>
      <c r="B23" t="s">
        <v>616</v>
      </c>
      <c r="C23" t="s">
        <v>696</v>
      </c>
      <c r="D23">
        <v>2206153</v>
      </c>
      <c r="E23" t="s">
        <v>697</v>
      </c>
      <c r="F23" t="s">
        <v>698</v>
      </c>
      <c r="G23" t="s">
        <v>491</v>
      </c>
      <c r="H23" s="5">
        <v>10</v>
      </c>
      <c r="I23">
        <v>10</v>
      </c>
      <c r="J23" s="6">
        <v>9.6999999999999993</v>
      </c>
      <c r="K23" s="6">
        <v>5.75</v>
      </c>
      <c r="M23" s="9">
        <v>0</v>
      </c>
    </row>
    <row r="24" spans="1:13">
      <c r="A24" t="s">
        <v>125</v>
      </c>
      <c r="B24" t="s">
        <v>616</v>
      </c>
      <c r="C24" t="s">
        <v>699</v>
      </c>
      <c r="D24">
        <v>2206188</v>
      </c>
      <c r="E24" t="s">
        <v>700</v>
      </c>
      <c r="F24" t="s">
        <v>701</v>
      </c>
      <c r="G24" t="s">
        <v>702</v>
      </c>
      <c r="H24" s="5">
        <v>10</v>
      </c>
      <c r="I24">
        <v>10</v>
      </c>
      <c r="J24" s="6">
        <v>10</v>
      </c>
      <c r="K24" s="6">
        <v>6</v>
      </c>
      <c r="M24" s="9">
        <v>0.25</v>
      </c>
    </row>
    <row r="25" spans="1:13">
      <c r="A25" t="s">
        <v>130</v>
      </c>
      <c r="B25" t="s">
        <v>616</v>
      </c>
      <c r="C25" t="s">
        <v>703</v>
      </c>
      <c r="D25">
        <v>2206313</v>
      </c>
      <c r="E25" t="s">
        <v>704</v>
      </c>
      <c r="F25" t="s">
        <v>705</v>
      </c>
      <c r="G25" t="s">
        <v>706</v>
      </c>
      <c r="H25" s="5">
        <v>10</v>
      </c>
      <c r="I25">
        <v>10</v>
      </c>
      <c r="J25" s="6">
        <v>10</v>
      </c>
      <c r="K25" s="6">
        <v>6</v>
      </c>
      <c r="M25" s="9">
        <v>2</v>
      </c>
    </row>
    <row r="26" spans="1:13">
      <c r="A26" t="s">
        <v>134</v>
      </c>
      <c r="B26" t="s">
        <v>616</v>
      </c>
      <c r="C26" t="s">
        <v>707</v>
      </c>
      <c r="D26">
        <v>2206091</v>
      </c>
      <c r="E26" t="s">
        <v>708</v>
      </c>
      <c r="F26" t="s">
        <v>709</v>
      </c>
      <c r="G26" t="s">
        <v>573</v>
      </c>
      <c r="H26" s="5">
        <v>10</v>
      </c>
      <c r="I26">
        <v>10</v>
      </c>
      <c r="J26" s="6">
        <v>10</v>
      </c>
      <c r="K26" s="6">
        <v>6</v>
      </c>
      <c r="M26" s="9">
        <v>3</v>
      </c>
    </row>
    <row r="27" spans="1:13" s="4" customFormat="1">
      <c r="A27" s="4" t="s">
        <v>138</v>
      </c>
      <c r="B27" s="4" t="s">
        <v>616</v>
      </c>
      <c r="C27" s="4" t="s">
        <v>710</v>
      </c>
      <c r="D27" s="4">
        <v>2206254</v>
      </c>
      <c r="E27" s="4" t="s">
        <v>711</v>
      </c>
      <c r="F27" s="4" t="s">
        <v>712</v>
      </c>
      <c r="G27" s="4" t="s">
        <v>702</v>
      </c>
      <c r="H27" s="5">
        <v>8</v>
      </c>
      <c r="I27" s="4">
        <v>10</v>
      </c>
      <c r="J27" s="7"/>
      <c r="K27" s="7"/>
      <c r="M27" s="9">
        <v>1</v>
      </c>
    </row>
    <row r="28" spans="1:13" s="3" customFormat="1">
      <c r="A28" s="3" t="s">
        <v>143</v>
      </c>
      <c r="B28" s="3" t="s">
        <v>616</v>
      </c>
      <c r="C28" s="3" t="s">
        <v>713</v>
      </c>
      <c r="D28" s="3">
        <v>2206058</v>
      </c>
      <c r="E28" s="3" t="s">
        <v>714</v>
      </c>
      <c r="F28" s="3" t="s">
        <v>715</v>
      </c>
      <c r="G28" s="3" t="s">
        <v>716</v>
      </c>
      <c r="H28" s="5">
        <v>10</v>
      </c>
      <c r="I28" s="4"/>
      <c r="J28" s="8">
        <v>8.75</v>
      </c>
      <c r="K28" s="7"/>
      <c r="M28" s="9">
        <v>0</v>
      </c>
    </row>
    <row r="29" spans="1:13">
      <c r="A29" t="s">
        <v>148</v>
      </c>
      <c r="B29" t="s">
        <v>616</v>
      </c>
      <c r="C29" t="s">
        <v>717</v>
      </c>
      <c r="D29">
        <v>2206064</v>
      </c>
      <c r="E29" t="s">
        <v>718</v>
      </c>
      <c r="F29" t="s">
        <v>719</v>
      </c>
      <c r="G29" t="s">
        <v>446</v>
      </c>
      <c r="H29" s="5">
        <v>10</v>
      </c>
      <c r="I29">
        <v>10</v>
      </c>
      <c r="J29" s="6">
        <v>10</v>
      </c>
      <c r="K29" s="6">
        <v>6</v>
      </c>
      <c r="M29" s="9">
        <v>0.75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67BBF-FA45-4BB7-A2DB-AA426EC5E0BA}">
  <dimension ref="A1:O28"/>
  <sheetViews>
    <sheetView tabSelected="1" zoomScale="130" zoomScaleNormal="130" workbookViewId="0">
      <selection activeCell="D39" sqref="D39"/>
    </sheetView>
  </sheetViews>
  <sheetFormatPr defaultRowHeight="15"/>
  <cols>
    <col min="2" max="2" width="9.7109375" customWidth="1"/>
    <col min="3" max="3" width="15.7109375" customWidth="1"/>
    <col min="6" max="6" width="27" customWidth="1"/>
    <col min="7" max="7" width="11.85546875" customWidth="1"/>
    <col min="8" max="8" width="9.140625" style="5"/>
    <col min="11" max="12" width="9.140625" customWidth="1"/>
    <col min="15" max="15" width="16.140625" style="9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5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9" t="s">
        <v>14</v>
      </c>
    </row>
    <row r="2" spans="1:15">
      <c r="A2" t="s">
        <v>15</v>
      </c>
      <c r="B2" t="s">
        <v>720</v>
      </c>
      <c r="C2" t="s">
        <v>721</v>
      </c>
      <c r="D2">
        <v>2107018</v>
      </c>
      <c r="E2" t="s">
        <v>722</v>
      </c>
      <c r="F2" t="s">
        <v>723</v>
      </c>
      <c r="G2" t="s">
        <v>724</v>
      </c>
      <c r="H2" s="5">
        <v>10</v>
      </c>
      <c r="I2">
        <v>10</v>
      </c>
      <c r="J2">
        <v>10</v>
      </c>
      <c r="K2">
        <v>6</v>
      </c>
      <c r="L2" s="3">
        <v>4</v>
      </c>
      <c r="M2">
        <v>6</v>
      </c>
      <c r="O2" s="9">
        <v>3</v>
      </c>
    </row>
    <row r="3" spans="1:15">
      <c r="A3" t="s">
        <v>21</v>
      </c>
      <c r="B3" t="s">
        <v>720</v>
      </c>
      <c r="C3" t="s">
        <v>725</v>
      </c>
      <c r="D3">
        <v>2110001</v>
      </c>
      <c r="E3" t="s">
        <v>726</v>
      </c>
      <c r="F3" t="s">
        <v>727</v>
      </c>
      <c r="G3" t="s">
        <v>728</v>
      </c>
      <c r="H3" s="5">
        <v>10</v>
      </c>
      <c r="I3">
        <v>10</v>
      </c>
      <c r="J3">
        <v>10</v>
      </c>
      <c r="K3">
        <v>6</v>
      </c>
      <c r="L3" s="3">
        <v>4</v>
      </c>
      <c r="M3">
        <v>5.9</v>
      </c>
      <c r="O3" s="9">
        <v>0</v>
      </c>
    </row>
    <row r="4" spans="1:15">
      <c r="A4" t="s">
        <v>26</v>
      </c>
      <c r="B4" t="s">
        <v>720</v>
      </c>
      <c r="C4" t="s">
        <v>729</v>
      </c>
      <c r="D4">
        <v>2106077</v>
      </c>
      <c r="E4" t="s">
        <v>730</v>
      </c>
      <c r="F4" t="s">
        <v>731</v>
      </c>
      <c r="G4" t="s">
        <v>732</v>
      </c>
      <c r="H4" s="5">
        <v>10</v>
      </c>
      <c r="I4" s="3">
        <v>10</v>
      </c>
      <c r="J4">
        <v>10</v>
      </c>
      <c r="K4">
        <v>5.8</v>
      </c>
      <c r="L4" s="3">
        <v>3.8</v>
      </c>
      <c r="M4">
        <v>5.9</v>
      </c>
      <c r="O4" s="9">
        <v>0</v>
      </c>
    </row>
    <row r="5" spans="1:15">
      <c r="A5" t="s">
        <v>31</v>
      </c>
      <c r="B5" t="s">
        <v>733</v>
      </c>
      <c r="C5" t="s">
        <v>734</v>
      </c>
      <c r="D5">
        <v>2106043</v>
      </c>
      <c r="E5" t="s">
        <v>735</v>
      </c>
      <c r="F5" t="s">
        <v>736</v>
      </c>
      <c r="G5" t="s">
        <v>737</v>
      </c>
      <c r="H5" s="5">
        <v>10</v>
      </c>
      <c r="I5" s="3">
        <v>10</v>
      </c>
      <c r="J5">
        <v>10</v>
      </c>
      <c r="K5">
        <v>6</v>
      </c>
      <c r="L5" s="3">
        <v>4</v>
      </c>
      <c r="M5">
        <v>6</v>
      </c>
      <c r="O5" s="9">
        <v>0</v>
      </c>
    </row>
    <row r="6" spans="1:15">
      <c r="A6" t="s">
        <v>36</v>
      </c>
      <c r="B6" t="s">
        <v>720</v>
      </c>
      <c r="C6" t="s">
        <v>738</v>
      </c>
      <c r="D6">
        <v>2106157</v>
      </c>
      <c r="E6" t="s">
        <v>739</v>
      </c>
      <c r="F6" t="s">
        <v>740</v>
      </c>
      <c r="G6" t="s">
        <v>741</v>
      </c>
      <c r="H6" s="5">
        <v>10</v>
      </c>
      <c r="I6">
        <v>10</v>
      </c>
      <c r="J6">
        <v>10</v>
      </c>
      <c r="K6">
        <v>5.7</v>
      </c>
      <c r="L6" s="3">
        <v>4</v>
      </c>
      <c r="M6">
        <v>5.6</v>
      </c>
      <c r="O6" s="9">
        <v>0</v>
      </c>
    </row>
    <row r="7" spans="1:15">
      <c r="A7" t="s">
        <v>41</v>
      </c>
      <c r="B7" t="s">
        <v>733</v>
      </c>
      <c r="C7" t="s">
        <v>742</v>
      </c>
      <c r="D7">
        <v>2110016</v>
      </c>
      <c r="E7" t="s">
        <v>743</v>
      </c>
      <c r="F7" t="s">
        <v>744</v>
      </c>
      <c r="G7" t="s">
        <v>745</v>
      </c>
      <c r="H7" s="5">
        <v>10</v>
      </c>
      <c r="I7">
        <v>10</v>
      </c>
      <c r="J7">
        <v>10</v>
      </c>
      <c r="K7">
        <v>6</v>
      </c>
      <c r="L7" s="3">
        <v>4</v>
      </c>
      <c r="M7">
        <v>6</v>
      </c>
      <c r="O7" s="9">
        <v>1.75</v>
      </c>
    </row>
    <row r="8" spans="1:15">
      <c r="A8" t="s">
        <v>46</v>
      </c>
      <c r="B8" t="s">
        <v>746</v>
      </c>
      <c r="C8" t="s">
        <v>747</v>
      </c>
      <c r="D8">
        <v>2106050</v>
      </c>
      <c r="E8" t="s">
        <v>748</v>
      </c>
      <c r="F8" t="s">
        <v>749</v>
      </c>
      <c r="G8" t="s">
        <v>750</v>
      </c>
      <c r="H8" s="5">
        <v>10</v>
      </c>
      <c r="I8">
        <v>10</v>
      </c>
      <c r="J8">
        <v>10</v>
      </c>
      <c r="K8">
        <v>6</v>
      </c>
      <c r="L8" s="3">
        <v>4</v>
      </c>
      <c r="M8">
        <v>6</v>
      </c>
      <c r="O8" s="9">
        <v>3</v>
      </c>
    </row>
    <row r="9" spans="1:15">
      <c r="A9" t="s">
        <v>51</v>
      </c>
      <c r="B9" t="s">
        <v>720</v>
      </c>
      <c r="C9" t="s">
        <v>751</v>
      </c>
      <c r="D9">
        <v>2107019</v>
      </c>
      <c r="E9" t="s">
        <v>752</v>
      </c>
      <c r="F9" t="s">
        <v>753</v>
      </c>
      <c r="G9" t="s">
        <v>754</v>
      </c>
      <c r="H9" s="5">
        <v>10</v>
      </c>
      <c r="I9" s="3">
        <v>9.3000000000000007</v>
      </c>
      <c r="J9">
        <v>10</v>
      </c>
      <c r="K9">
        <v>6</v>
      </c>
      <c r="L9" s="3">
        <v>3.2</v>
      </c>
      <c r="M9">
        <v>5.7</v>
      </c>
      <c r="O9" s="9">
        <v>0</v>
      </c>
    </row>
    <row r="10" spans="1:15">
      <c r="A10" t="s">
        <v>56</v>
      </c>
      <c r="B10" t="s">
        <v>746</v>
      </c>
      <c r="C10" t="s">
        <v>755</v>
      </c>
      <c r="D10">
        <v>2106221</v>
      </c>
      <c r="E10" t="s">
        <v>756</v>
      </c>
      <c r="F10" t="s">
        <v>757</v>
      </c>
      <c r="G10" t="s">
        <v>758</v>
      </c>
      <c r="H10" s="5">
        <v>10</v>
      </c>
      <c r="I10" s="3">
        <v>10</v>
      </c>
      <c r="J10">
        <v>10</v>
      </c>
      <c r="K10">
        <v>5.4</v>
      </c>
      <c r="L10" s="3">
        <v>3.3</v>
      </c>
      <c r="M10">
        <v>5.6</v>
      </c>
      <c r="O10" s="9">
        <v>0</v>
      </c>
    </row>
    <row r="11" spans="1:15">
      <c r="A11" t="s">
        <v>61</v>
      </c>
      <c r="B11" t="s">
        <v>720</v>
      </c>
      <c r="C11" t="s">
        <v>759</v>
      </c>
      <c r="D11">
        <v>2106160</v>
      </c>
      <c r="E11" t="s">
        <v>760</v>
      </c>
      <c r="F11" t="s">
        <v>761</v>
      </c>
      <c r="G11" t="s">
        <v>762</v>
      </c>
      <c r="H11" s="5">
        <v>10</v>
      </c>
      <c r="I11" s="3">
        <v>9.3000000000000007</v>
      </c>
      <c r="J11">
        <v>10</v>
      </c>
      <c r="K11">
        <v>5.5</v>
      </c>
      <c r="L11" s="3">
        <v>3.2</v>
      </c>
      <c r="M11">
        <v>5.7</v>
      </c>
      <c r="O11" s="9">
        <v>0</v>
      </c>
    </row>
    <row r="12" spans="1:15">
      <c r="A12" t="s">
        <v>66</v>
      </c>
      <c r="B12" t="s">
        <v>720</v>
      </c>
      <c r="C12" t="s">
        <v>763</v>
      </c>
      <c r="D12">
        <v>2108015</v>
      </c>
      <c r="E12" t="s">
        <v>764</v>
      </c>
      <c r="F12" t="s">
        <v>765</v>
      </c>
      <c r="G12" t="s">
        <v>766</v>
      </c>
      <c r="H12" s="5">
        <v>10</v>
      </c>
      <c r="I12" s="3">
        <v>9.3000000000000007</v>
      </c>
      <c r="J12">
        <v>10</v>
      </c>
      <c r="K12">
        <v>5.7</v>
      </c>
      <c r="L12" s="3">
        <v>3.2</v>
      </c>
      <c r="M12">
        <v>6</v>
      </c>
      <c r="O12" s="9">
        <v>0</v>
      </c>
    </row>
    <row r="13" spans="1:15">
      <c r="A13" t="s">
        <v>71</v>
      </c>
      <c r="B13" t="s">
        <v>720</v>
      </c>
      <c r="C13" t="s">
        <v>767</v>
      </c>
      <c r="D13">
        <v>2106158</v>
      </c>
      <c r="E13" t="s">
        <v>768</v>
      </c>
      <c r="F13" t="s">
        <v>769</v>
      </c>
      <c r="G13" t="s">
        <v>770</v>
      </c>
      <c r="H13" s="5">
        <v>10</v>
      </c>
      <c r="I13" s="3">
        <v>9.3000000000000007</v>
      </c>
      <c r="J13">
        <v>10</v>
      </c>
      <c r="K13">
        <v>5.7</v>
      </c>
      <c r="L13" s="3">
        <v>3.2</v>
      </c>
      <c r="M13">
        <v>5.7</v>
      </c>
      <c r="O13" s="9">
        <v>0</v>
      </c>
    </row>
    <row r="14" spans="1:15">
      <c r="A14" t="s">
        <v>76</v>
      </c>
      <c r="B14" t="s">
        <v>771</v>
      </c>
      <c r="C14" t="s">
        <v>772</v>
      </c>
      <c r="D14">
        <v>2107012</v>
      </c>
      <c r="E14" t="s">
        <v>773</v>
      </c>
      <c r="F14" t="s">
        <v>774</v>
      </c>
      <c r="G14" t="s">
        <v>775</v>
      </c>
      <c r="H14" s="5">
        <v>10</v>
      </c>
      <c r="I14" s="3">
        <v>10</v>
      </c>
      <c r="J14">
        <v>10</v>
      </c>
      <c r="K14">
        <v>6</v>
      </c>
      <c r="L14" s="3">
        <v>3.8</v>
      </c>
      <c r="M14">
        <v>6</v>
      </c>
      <c r="O14" s="9">
        <v>0</v>
      </c>
    </row>
    <row r="15" spans="1:15">
      <c r="A15" t="s">
        <v>81</v>
      </c>
      <c r="B15" t="s">
        <v>746</v>
      </c>
      <c r="C15" t="s">
        <v>776</v>
      </c>
      <c r="D15">
        <v>2107020</v>
      </c>
      <c r="E15" t="s">
        <v>777</v>
      </c>
      <c r="F15" t="s">
        <v>778</v>
      </c>
      <c r="G15" t="s">
        <v>779</v>
      </c>
      <c r="H15" s="5">
        <v>10</v>
      </c>
      <c r="I15" s="3">
        <v>10</v>
      </c>
      <c r="J15">
        <v>10</v>
      </c>
      <c r="K15">
        <v>6</v>
      </c>
      <c r="L15" s="3">
        <v>3.7</v>
      </c>
      <c r="M15">
        <v>5.7</v>
      </c>
      <c r="O15" s="9">
        <v>0</v>
      </c>
    </row>
    <row r="16" spans="1:15">
      <c r="A16" t="s">
        <v>86</v>
      </c>
      <c r="B16" t="s">
        <v>720</v>
      </c>
      <c r="C16" t="s">
        <v>780</v>
      </c>
      <c r="D16">
        <v>2106203</v>
      </c>
      <c r="E16" t="s">
        <v>781</v>
      </c>
      <c r="F16" t="s">
        <v>782</v>
      </c>
      <c r="G16" t="s">
        <v>783</v>
      </c>
      <c r="H16" s="5">
        <v>10</v>
      </c>
      <c r="I16" s="3">
        <v>10</v>
      </c>
      <c r="J16">
        <v>10</v>
      </c>
      <c r="K16">
        <v>5.7</v>
      </c>
      <c r="L16" s="3">
        <v>3.8</v>
      </c>
      <c r="M16">
        <v>5.8</v>
      </c>
      <c r="O16" s="9">
        <v>0</v>
      </c>
    </row>
    <row r="17" spans="1:15">
      <c r="A17" t="s">
        <v>91</v>
      </c>
      <c r="B17" t="s">
        <v>746</v>
      </c>
      <c r="C17" t="s">
        <v>784</v>
      </c>
      <c r="D17">
        <v>2106019</v>
      </c>
      <c r="E17" t="s">
        <v>785</v>
      </c>
      <c r="F17" t="s">
        <v>786</v>
      </c>
      <c r="G17" t="s">
        <v>787</v>
      </c>
      <c r="H17" s="5">
        <v>10</v>
      </c>
      <c r="I17" s="3">
        <v>10</v>
      </c>
      <c r="J17" s="3">
        <v>8.5</v>
      </c>
      <c r="K17">
        <v>5.6</v>
      </c>
      <c r="L17" s="3">
        <v>3</v>
      </c>
      <c r="M17">
        <v>5.8</v>
      </c>
      <c r="O17" s="9">
        <v>0</v>
      </c>
    </row>
    <row r="18" spans="1:15">
      <c r="A18" t="s">
        <v>96</v>
      </c>
      <c r="B18" t="s">
        <v>771</v>
      </c>
      <c r="C18" t="s">
        <v>788</v>
      </c>
      <c r="D18">
        <v>2107033</v>
      </c>
      <c r="E18" t="s">
        <v>789</v>
      </c>
      <c r="F18" t="s">
        <v>790</v>
      </c>
      <c r="G18" t="s">
        <v>791</v>
      </c>
      <c r="H18" s="5">
        <v>10</v>
      </c>
      <c r="I18" s="3">
        <v>10</v>
      </c>
      <c r="J18">
        <v>10</v>
      </c>
      <c r="K18">
        <v>6</v>
      </c>
      <c r="L18" s="3">
        <v>3.8</v>
      </c>
      <c r="M18">
        <v>5.6</v>
      </c>
      <c r="O18" s="9">
        <v>0</v>
      </c>
    </row>
    <row r="19" spans="1:15">
      <c r="A19" t="s">
        <v>100</v>
      </c>
      <c r="B19" t="s">
        <v>733</v>
      </c>
      <c r="C19" t="s">
        <v>792</v>
      </c>
      <c r="D19">
        <v>2107003</v>
      </c>
      <c r="E19" t="s">
        <v>793</v>
      </c>
      <c r="F19" t="s">
        <v>794</v>
      </c>
      <c r="G19" t="s">
        <v>795</v>
      </c>
      <c r="H19" s="5">
        <v>10</v>
      </c>
      <c r="I19" s="3">
        <v>10</v>
      </c>
      <c r="J19">
        <v>10</v>
      </c>
      <c r="K19">
        <v>5.9</v>
      </c>
      <c r="L19" s="3">
        <v>3.8</v>
      </c>
      <c r="M19">
        <v>5.9</v>
      </c>
      <c r="O19" s="9">
        <v>0</v>
      </c>
    </row>
    <row r="20" spans="1:15">
      <c r="A20" t="s">
        <v>105</v>
      </c>
      <c r="B20" t="s">
        <v>733</v>
      </c>
      <c r="C20" t="s">
        <v>796</v>
      </c>
      <c r="D20">
        <v>2108002</v>
      </c>
      <c r="E20" t="s">
        <v>797</v>
      </c>
      <c r="F20" t="s">
        <v>798</v>
      </c>
      <c r="G20" t="s">
        <v>799</v>
      </c>
      <c r="H20" s="5">
        <v>10</v>
      </c>
      <c r="I20" s="3">
        <v>10</v>
      </c>
      <c r="J20">
        <v>10</v>
      </c>
      <c r="K20">
        <v>6</v>
      </c>
      <c r="L20" s="3">
        <v>3.8</v>
      </c>
      <c r="M20">
        <v>6</v>
      </c>
      <c r="O20" s="9">
        <v>0</v>
      </c>
    </row>
    <row r="21" spans="1:15">
      <c r="A21" t="s">
        <v>110</v>
      </c>
      <c r="B21" t="s">
        <v>746</v>
      </c>
      <c r="C21" t="s">
        <v>800</v>
      </c>
      <c r="D21">
        <v>2106171</v>
      </c>
      <c r="E21" t="s">
        <v>801</v>
      </c>
      <c r="F21" t="s">
        <v>802</v>
      </c>
      <c r="G21" t="s">
        <v>803</v>
      </c>
      <c r="H21" s="5">
        <v>10</v>
      </c>
      <c r="I21" s="3">
        <v>10</v>
      </c>
      <c r="J21" s="3">
        <v>8.5</v>
      </c>
      <c r="K21">
        <v>5.7</v>
      </c>
      <c r="L21" s="3">
        <v>3</v>
      </c>
      <c r="M21">
        <v>5.5</v>
      </c>
      <c r="O21" s="9">
        <v>0</v>
      </c>
    </row>
    <row r="22" spans="1:15">
      <c r="A22" t="s">
        <v>115</v>
      </c>
      <c r="B22" t="s">
        <v>733</v>
      </c>
      <c r="C22" t="s">
        <v>804</v>
      </c>
      <c r="D22">
        <v>2106095</v>
      </c>
      <c r="E22" t="s">
        <v>805</v>
      </c>
      <c r="F22" t="s">
        <v>806</v>
      </c>
      <c r="G22" t="s">
        <v>807</v>
      </c>
      <c r="H22" s="5">
        <v>10</v>
      </c>
      <c r="I22">
        <v>10</v>
      </c>
      <c r="J22">
        <v>10</v>
      </c>
      <c r="K22" s="1">
        <v>5.6</v>
      </c>
      <c r="L22" s="3">
        <v>3.9</v>
      </c>
      <c r="M22">
        <v>5.6</v>
      </c>
      <c r="O22" s="9">
        <v>0</v>
      </c>
    </row>
    <row r="23" spans="1:15">
      <c r="A23" t="s">
        <v>120</v>
      </c>
      <c r="B23" t="s">
        <v>746</v>
      </c>
      <c r="C23" t="s">
        <v>808</v>
      </c>
      <c r="D23">
        <v>2106205</v>
      </c>
      <c r="E23" t="s">
        <v>809</v>
      </c>
      <c r="F23" t="s">
        <v>810</v>
      </c>
      <c r="G23" t="s">
        <v>811</v>
      </c>
      <c r="H23" s="5">
        <v>10</v>
      </c>
      <c r="I23" s="3">
        <v>10</v>
      </c>
      <c r="J23">
        <v>10</v>
      </c>
      <c r="K23">
        <v>6</v>
      </c>
      <c r="L23" s="3">
        <v>3.3</v>
      </c>
      <c r="M23">
        <v>5.7</v>
      </c>
      <c r="O23" s="9">
        <v>0</v>
      </c>
    </row>
    <row r="24" spans="1:15">
      <c r="A24" t="s">
        <v>125</v>
      </c>
      <c r="B24" t="s">
        <v>733</v>
      </c>
      <c r="C24" t="s">
        <v>812</v>
      </c>
      <c r="D24">
        <v>2110030</v>
      </c>
      <c r="E24" t="s">
        <v>813</v>
      </c>
      <c r="F24" t="s">
        <v>814</v>
      </c>
      <c r="G24" t="s">
        <v>815</v>
      </c>
      <c r="H24" s="5">
        <v>10</v>
      </c>
      <c r="I24">
        <v>10</v>
      </c>
      <c r="J24">
        <v>10</v>
      </c>
      <c r="K24">
        <v>6</v>
      </c>
      <c r="L24" s="3">
        <v>4</v>
      </c>
      <c r="M24">
        <v>6</v>
      </c>
      <c r="O24" s="9">
        <v>3</v>
      </c>
    </row>
    <row r="25" spans="1:15">
      <c r="A25" t="s">
        <v>130</v>
      </c>
      <c r="B25" t="s">
        <v>746</v>
      </c>
      <c r="C25">
        <v>7951465925</v>
      </c>
      <c r="D25">
        <v>2106219</v>
      </c>
      <c r="E25" t="s">
        <v>816</v>
      </c>
      <c r="F25" t="s">
        <v>817</v>
      </c>
      <c r="G25" t="s">
        <v>818</v>
      </c>
      <c r="H25" s="5">
        <v>10</v>
      </c>
      <c r="I25" s="3">
        <v>10</v>
      </c>
      <c r="J25">
        <v>10</v>
      </c>
      <c r="K25">
        <v>6</v>
      </c>
      <c r="L25" s="3">
        <v>4</v>
      </c>
      <c r="M25">
        <v>5.8</v>
      </c>
      <c r="O25" s="9">
        <v>0</v>
      </c>
    </row>
    <row r="26" spans="1:15">
      <c r="A26" t="s">
        <v>134</v>
      </c>
      <c r="B26" t="s">
        <v>771</v>
      </c>
      <c r="C26" t="s">
        <v>819</v>
      </c>
      <c r="D26">
        <v>2110032</v>
      </c>
      <c r="E26" t="s">
        <v>820</v>
      </c>
      <c r="F26" t="s">
        <v>821</v>
      </c>
      <c r="G26" t="s">
        <v>822</v>
      </c>
      <c r="H26" s="5">
        <v>10</v>
      </c>
      <c r="I26">
        <v>10</v>
      </c>
      <c r="J26">
        <v>10</v>
      </c>
      <c r="K26">
        <v>6</v>
      </c>
      <c r="L26" s="3">
        <v>4</v>
      </c>
      <c r="M26">
        <v>6</v>
      </c>
      <c r="O26" s="9">
        <v>0</v>
      </c>
    </row>
    <row r="27" spans="1:15">
      <c r="A27" t="s">
        <v>138</v>
      </c>
      <c r="B27" t="s">
        <v>733</v>
      </c>
      <c r="C27" t="s">
        <v>823</v>
      </c>
      <c r="D27">
        <v>2106099</v>
      </c>
      <c r="E27" t="s">
        <v>824</v>
      </c>
      <c r="F27" t="s">
        <v>825</v>
      </c>
      <c r="G27" t="s">
        <v>826</v>
      </c>
      <c r="H27" s="5">
        <v>10</v>
      </c>
      <c r="I27" s="3">
        <v>10</v>
      </c>
      <c r="J27">
        <v>10</v>
      </c>
      <c r="K27">
        <v>6</v>
      </c>
      <c r="L27" s="3">
        <v>4</v>
      </c>
      <c r="M27">
        <v>6</v>
      </c>
      <c r="O27" s="9">
        <v>0</v>
      </c>
    </row>
    <row r="28" spans="1:15">
      <c r="A28" t="s">
        <v>143</v>
      </c>
      <c r="B28" t="s">
        <v>746</v>
      </c>
      <c r="C28" t="s">
        <v>827</v>
      </c>
      <c r="D28">
        <v>2107049</v>
      </c>
      <c r="E28" t="s">
        <v>828</v>
      </c>
      <c r="F28" t="s">
        <v>829</v>
      </c>
      <c r="G28" t="s">
        <v>830</v>
      </c>
      <c r="H28" s="5">
        <v>10</v>
      </c>
      <c r="I28" s="3">
        <v>10</v>
      </c>
      <c r="J28" s="3">
        <v>8.5</v>
      </c>
      <c r="K28">
        <v>5.7</v>
      </c>
      <c r="L28" s="3">
        <v>3</v>
      </c>
      <c r="M28">
        <v>5.6</v>
      </c>
      <c r="O28" s="9"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69F5FA6F5E99D64B892633AF1293AFE9" ma:contentTypeVersion="16" ma:contentTypeDescription="Tạo tài liệu mới." ma:contentTypeScope="" ma:versionID="d2d5385ae45fc0df6c563476e54477bc">
  <xsd:schema xmlns:xsd="http://www.w3.org/2001/XMLSchema" xmlns:xs="http://www.w3.org/2001/XMLSchema" xmlns:p="http://schemas.microsoft.com/office/2006/metadata/properties" xmlns:ns3="64e27462-61f7-439c-88b3-7ca10cd645ec" xmlns:ns4="4329cf8b-2919-4c61-9f30-6ea716fa69c3" targetNamespace="http://schemas.microsoft.com/office/2006/metadata/properties" ma:root="true" ma:fieldsID="4b90872c2c5aa4b2a61f2c9ac5966a13" ns3:_="" ns4:_="">
    <xsd:import namespace="64e27462-61f7-439c-88b3-7ca10cd645ec"/>
    <xsd:import namespace="4329cf8b-2919-4c61-9f30-6ea716fa69c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DateTaken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Location" minOccurs="0"/>
                <xsd:element ref="ns3:MediaServiceSearchPropertie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e27462-61f7-439c-88b3-7ca10cd645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29cf8b-2919-4c61-9f30-6ea716fa69c3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Hàm băm Gợi ý Chia sẻ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4e27462-61f7-439c-88b3-7ca10cd645ec" xsi:nil="true"/>
  </documentManagement>
</p:properties>
</file>

<file path=customXml/itemProps1.xml><?xml version="1.0" encoding="utf-8"?>
<ds:datastoreItem xmlns:ds="http://schemas.openxmlformats.org/officeDocument/2006/customXml" ds:itemID="{C04A264A-B108-430A-B3AF-4CD6D510722A}"/>
</file>

<file path=customXml/itemProps2.xml><?xml version="1.0" encoding="utf-8"?>
<ds:datastoreItem xmlns:ds="http://schemas.openxmlformats.org/officeDocument/2006/customXml" ds:itemID="{FB00F7F1-EDF3-4F0C-9299-8D2EDB28E76E}"/>
</file>

<file path=customXml/itemProps3.xml><?xml version="1.0" encoding="utf-8"?>
<ds:datastoreItem xmlns:ds="http://schemas.openxmlformats.org/officeDocument/2006/customXml" ds:itemID="{F2173007-016A-4A81-9620-65BD135EA77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Vũ Khang</dc:creator>
  <cp:keywords/>
  <dc:description/>
  <cp:lastModifiedBy>Vũ Khang</cp:lastModifiedBy>
  <cp:revision/>
  <dcterms:created xsi:type="dcterms:W3CDTF">2026-02-19T06:22:39Z</dcterms:created>
  <dcterms:modified xsi:type="dcterms:W3CDTF">2026-04-04T08:13:53Z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0x01010069F5FA6F5E99D64B892633AF1293AFE9</vt:lpwstr>
  </property>
</Properties>
</file>